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lincolnavenuecapital-my.sharepoint.com/personal/eforman_lincolnavecap_com/Documents/Desktop/"/>
    </mc:Choice>
  </mc:AlternateContent>
  <xr:revisionPtr revIDLastSave="0" documentId="8_{A6DECCA6-3B30-4857-B81A-59B86EA99F25}" xr6:coauthVersionLast="47" xr6:coauthVersionMax="47" xr10:uidLastSave="{00000000-0000-0000-0000-000000000000}"/>
  <bookViews>
    <workbookView xWindow="-28920" yWindow="-120" windowWidth="29040" windowHeight="15720" xr2:uid="{F0C2EC13-68D2-4D1A-B111-4C75D23DB776}"/>
  </bookViews>
  <sheets>
    <sheet name="Payroll" sheetId="1" r:id="rId1"/>
  </sheets>
  <externalReferences>
    <externalReference r:id="rId2"/>
    <externalReference r:id="rId3"/>
  </externalReferences>
  <definedNames>
    <definedName name="_xlnm._FilterDatabase" localSheetId="0" hidden="1">Payroll!$A$3:$A$295</definedName>
    <definedName name="ActualEICharge">[2]Hidden_Calculations!$G$3:$G$219</definedName>
    <definedName name="ActualRentCharge">[2]Hidden_Calculations!$E$3:$E$219</definedName>
    <definedName name="ActualSubsidyCharge">[2]Hidden_Calculations!$F$3:$F$219</definedName>
    <definedName name="Concessions">[2]Hidden_Calculations!$K$3:$K$219</definedName>
    <definedName name="CurrentSubsidyUnpaidCharges">[2]Hidden_Calculations!$Q$3:$Q$219</definedName>
    <definedName name="CurrentUnpaidCharges">[2]Hidden_Calculations!$P$3:$P$219</definedName>
    <definedName name="EconomicVacancy">[2]Hidden_Calculations!$D$3:$D$219</definedName>
    <definedName name="LossGainToLease">[2]Hidden_Calculations!$B$3:$B$219</definedName>
    <definedName name="MarketRent">[2]Hidden_Calculations!$A$3:$A$219</definedName>
    <definedName name="NumberOfProperties">'[2]Summarize By - Unit'!$AL$1</definedName>
    <definedName name="PotentialRent">[2]Hidden_Calculations!$C$3:$C$219</definedName>
    <definedName name="Prepaid">[2]Hidden_Calculations!$R$3:$R$219</definedName>
    <definedName name="_xlnm.Print_Area" localSheetId="0">Payroll!$C$13:$AE$316</definedName>
    <definedName name="_xlnm.Print_Titles" localSheetId="0">Payroll!$13:$13</definedName>
    <definedName name="PropertyCount">'[2]Summarize By - Unit'!$AL$6:$AL$224</definedName>
    <definedName name="ReceiptsCurrent">[2]Hidden_Calculations!$N$3:$N$219</definedName>
    <definedName name="ReceiptsPrior">[2]Hidden_Calculations!$O$3:$O$219</definedName>
    <definedName name="RentAdjustments">[2]Hidden_Calculations!$I$3:$I$219</definedName>
    <definedName name="RentalIncome">#REF!</definedName>
    <definedName name="SubsidyAdjustments">[2]Hidden_Calculations!$J$3:$J$219</definedName>
    <definedName name="TABLE">'[1]Property Profile (Variables)'!$V$1:$Z$21</definedName>
    <definedName name="UtilityReimbursement">[2]Hidden_Calculations!$H$3:$H$219</definedName>
    <definedName name="Writeoffs">[2]Hidden_Calculations!$L$3:$L$219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49" i="1" l="1"/>
  <c r="G348" i="1"/>
  <c r="F348" i="1"/>
  <c r="G345" i="1"/>
  <c r="F345" i="1"/>
  <c r="F343" i="1"/>
  <c r="G343" i="1" s="1"/>
  <c r="G341" i="1"/>
  <c r="F341" i="1"/>
  <c r="G339" i="1"/>
  <c r="F339" i="1"/>
  <c r="G337" i="1"/>
  <c r="F337" i="1"/>
  <c r="G334" i="1"/>
  <c r="F334" i="1"/>
  <c r="F332" i="1"/>
  <c r="G332" i="1" s="1"/>
  <c r="G330" i="1"/>
  <c r="F330" i="1"/>
  <c r="G328" i="1"/>
  <c r="F328" i="1"/>
  <c r="G326" i="1"/>
  <c r="F326" i="1"/>
  <c r="F324" i="1"/>
  <c r="F349" i="1" s="1"/>
  <c r="D324" i="1"/>
  <c r="C324" i="1"/>
  <c r="C325" i="1" s="1"/>
  <c r="D323" i="1"/>
  <c r="H321" i="1"/>
  <c r="A320" i="1"/>
  <c r="G302" i="1"/>
  <c r="AE298" i="1"/>
  <c r="G288" i="1"/>
  <c r="G286" i="1"/>
  <c r="G284" i="1"/>
  <c r="G282" i="1"/>
  <c r="G280" i="1"/>
  <c r="G278" i="1"/>
  <c r="G276" i="1"/>
  <c r="G274" i="1"/>
  <c r="AE273" i="1"/>
  <c r="AD264" i="1"/>
  <c r="AD302" i="1" s="1"/>
  <c r="AC264" i="1"/>
  <c r="AC302" i="1" s="1"/>
  <c r="AB264" i="1"/>
  <c r="AB302" i="1" s="1"/>
  <c r="AA264" i="1"/>
  <c r="AA302" i="1" s="1"/>
  <c r="Z264" i="1"/>
  <c r="Z302" i="1" s="1"/>
  <c r="Y264" i="1"/>
  <c r="Y302" i="1" s="1"/>
  <c r="X264" i="1"/>
  <c r="X302" i="1" s="1"/>
  <c r="W264" i="1"/>
  <c r="W302" i="1" s="1"/>
  <c r="V264" i="1"/>
  <c r="V302" i="1" s="1"/>
  <c r="U264" i="1"/>
  <c r="U302" i="1" s="1"/>
  <c r="T264" i="1"/>
  <c r="T302" i="1" s="1"/>
  <c r="S264" i="1"/>
  <c r="S302" i="1" s="1"/>
  <c r="D264" i="1"/>
  <c r="H262" i="1"/>
  <c r="G262" i="1"/>
  <c r="F262" i="1"/>
  <c r="E262" i="1"/>
  <c r="P254" i="1"/>
  <c r="M254" i="1"/>
  <c r="B254" i="1"/>
  <c r="G310" i="1" s="1"/>
  <c r="P246" i="1"/>
  <c r="M246" i="1"/>
  <c r="B246" i="1"/>
  <c r="G309" i="1" s="1"/>
  <c r="V245" i="1"/>
  <c r="A244" i="1"/>
  <c r="Q238" i="1"/>
  <c r="P238" i="1"/>
  <c r="M238" i="1"/>
  <c r="B238" i="1"/>
  <c r="G308" i="1" s="1"/>
  <c r="A238" i="1"/>
  <c r="A239" i="1" s="1"/>
  <c r="A242" i="1" s="1"/>
  <c r="A243" i="1" s="1"/>
  <c r="A245" i="1" s="1"/>
  <c r="P230" i="1"/>
  <c r="M230" i="1"/>
  <c r="A230" i="1" s="1"/>
  <c r="A231" i="1" s="1"/>
  <c r="A234" i="1" s="1"/>
  <c r="A235" i="1" s="1"/>
  <c r="Q222" i="1"/>
  <c r="P222" i="1"/>
  <c r="M222" i="1"/>
  <c r="P214" i="1"/>
  <c r="M214" i="1"/>
  <c r="B214" i="1"/>
  <c r="B222" i="1" s="1"/>
  <c r="B230" i="1" s="1"/>
  <c r="AG206" i="1"/>
  <c r="Q206" i="1"/>
  <c r="P206" i="1"/>
  <c r="M206" i="1"/>
  <c r="A206" i="1"/>
  <c r="A207" i="1" s="1"/>
  <c r="A210" i="1" s="1"/>
  <c r="A211" i="1" s="1"/>
  <c r="A213" i="1" s="1"/>
  <c r="X205" i="1"/>
  <c r="A203" i="1"/>
  <c r="A202" i="1"/>
  <c r="Q198" i="1"/>
  <c r="P198" i="1"/>
  <c r="M198" i="1"/>
  <c r="B198" i="1"/>
  <c r="A198" i="1"/>
  <c r="A199" i="1" s="1"/>
  <c r="A191" i="1"/>
  <c r="A194" i="1" s="1"/>
  <c r="A195" i="1" s="1"/>
  <c r="Q190" i="1"/>
  <c r="P190" i="1"/>
  <c r="M190" i="1"/>
  <c r="B190" i="1"/>
  <c r="A190" i="1"/>
  <c r="P182" i="1"/>
  <c r="M182" i="1"/>
  <c r="B182" i="1"/>
  <c r="AD181" i="1"/>
  <c r="AC181" i="1"/>
  <c r="AG174" i="1"/>
  <c r="Q174" i="1"/>
  <c r="P174" i="1"/>
  <c r="M174" i="1"/>
  <c r="P166" i="1"/>
  <c r="M166" i="1"/>
  <c r="Z165" i="1"/>
  <c r="Y165" i="1"/>
  <c r="A164" i="1"/>
  <c r="A162" i="1"/>
  <c r="A163" i="1" s="1"/>
  <c r="A165" i="1" s="1"/>
  <c r="Q158" i="1"/>
  <c r="P158" i="1"/>
  <c r="M158" i="1"/>
  <c r="B158" i="1"/>
  <c r="B166" i="1" s="1"/>
  <c r="A158" i="1"/>
  <c r="A159" i="1" s="1"/>
  <c r="AA157" i="1"/>
  <c r="AG150" i="1"/>
  <c r="P150" i="1"/>
  <c r="M150" i="1"/>
  <c r="Z149" i="1"/>
  <c r="Y149" i="1"/>
  <c r="P142" i="1"/>
  <c r="M142" i="1"/>
  <c r="AC141" i="1"/>
  <c r="P134" i="1"/>
  <c r="M134" i="1"/>
  <c r="P126" i="1"/>
  <c r="M126" i="1"/>
  <c r="B126" i="1"/>
  <c r="B134" i="1" s="1"/>
  <c r="B142" i="1" s="1"/>
  <c r="A126" i="1"/>
  <c r="A127" i="1" s="1"/>
  <c r="A130" i="1" s="1"/>
  <c r="A131" i="1" s="1"/>
  <c r="AB125" i="1"/>
  <c r="W125" i="1"/>
  <c r="S125" i="1"/>
  <c r="C125" i="1"/>
  <c r="P118" i="1"/>
  <c r="M118" i="1"/>
  <c r="AC117" i="1"/>
  <c r="C117" i="1"/>
  <c r="P110" i="1"/>
  <c r="M110" i="1"/>
  <c r="B110" i="1"/>
  <c r="AD109" i="1"/>
  <c r="T109" i="1"/>
  <c r="Q102" i="1"/>
  <c r="P102" i="1"/>
  <c r="M102" i="1"/>
  <c r="AC101" i="1"/>
  <c r="AB101" i="1"/>
  <c r="A101" i="1"/>
  <c r="P94" i="1"/>
  <c r="M94" i="1"/>
  <c r="A94" i="1"/>
  <c r="A95" i="1" s="1"/>
  <c r="A98" i="1" s="1"/>
  <c r="A99" i="1" s="1"/>
  <c r="A100" i="1" s="1"/>
  <c r="AD93" i="1"/>
  <c r="AC93" i="1"/>
  <c r="X93" i="1"/>
  <c r="S93" i="1"/>
  <c r="P86" i="1"/>
  <c r="M86" i="1"/>
  <c r="AD85" i="1"/>
  <c r="Y85" i="1"/>
  <c r="X85" i="1"/>
  <c r="V85" i="1"/>
  <c r="U85" i="1"/>
  <c r="P78" i="1"/>
  <c r="M78" i="1"/>
  <c r="B78" i="1"/>
  <c r="B86" i="1" s="1"/>
  <c r="A78" i="1"/>
  <c r="A79" i="1" s="1"/>
  <c r="A82" i="1" s="1"/>
  <c r="A83" i="1" s="1"/>
  <c r="AD77" i="1"/>
  <c r="X77" i="1"/>
  <c r="W77" i="1"/>
  <c r="V77" i="1"/>
  <c r="U77" i="1"/>
  <c r="A71" i="1"/>
  <c r="A74" i="1" s="1"/>
  <c r="A75" i="1" s="1"/>
  <c r="A77" i="1" s="1"/>
  <c r="P70" i="1"/>
  <c r="M70" i="1"/>
  <c r="B70" i="1"/>
  <c r="A70" i="1"/>
  <c r="AD69" i="1"/>
  <c r="AB69" i="1"/>
  <c r="W69" i="1"/>
  <c r="V69" i="1"/>
  <c r="T69" i="1"/>
  <c r="S69" i="1"/>
  <c r="P62" i="1"/>
  <c r="M62" i="1"/>
  <c r="AD61" i="1"/>
  <c r="AC61" i="1"/>
  <c r="AB61" i="1"/>
  <c r="AA61" i="1"/>
  <c r="U61" i="1"/>
  <c r="T61" i="1"/>
  <c r="S61" i="1"/>
  <c r="C61" i="1"/>
  <c r="P54" i="1"/>
  <c r="M54" i="1"/>
  <c r="B54" i="1"/>
  <c r="B62" i="1" s="1"/>
  <c r="A54" i="1"/>
  <c r="A55" i="1" s="1"/>
  <c r="A58" i="1" s="1"/>
  <c r="A59" i="1" s="1"/>
  <c r="AC53" i="1"/>
  <c r="AB53" i="1"/>
  <c r="Z53" i="1"/>
  <c r="Y53" i="1"/>
  <c r="T53" i="1"/>
  <c r="C53" i="1"/>
  <c r="Q46" i="1"/>
  <c r="P46" i="1"/>
  <c r="M46" i="1"/>
  <c r="AB45" i="1"/>
  <c r="AA45" i="1"/>
  <c r="Z45" i="1"/>
  <c r="Y45" i="1"/>
  <c r="S45" i="1"/>
  <c r="C45" i="1"/>
  <c r="Q38" i="1"/>
  <c r="P38" i="1"/>
  <c r="M38" i="1"/>
  <c r="B38" i="1"/>
  <c r="AA37" i="1"/>
  <c r="Z37" i="1"/>
  <c r="Y37" i="1"/>
  <c r="X37" i="1"/>
  <c r="S37" i="1"/>
  <c r="C37" i="1"/>
  <c r="Q30" i="1"/>
  <c r="P30" i="1"/>
  <c r="M30" i="1"/>
  <c r="AA29" i="1"/>
  <c r="Z29" i="1"/>
  <c r="Y29" i="1"/>
  <c r="X29" i="1"/>
  <c r="S29" i="1"/>
  <c r="C29" i="1"/>
  <c r="Q22" i="1"/>
  <c r="P22" i="1"/>
  <c r="M22" i="1"/>
  <c r="B22" i="1"/>
  <c r="AB21" i="1"/>
  <c r="AA21" i="1"/>
  <c r="Z21" i="1"/>
  <c r="Y21" i="1"/>
  <c r="T21" i="1"/>
  <c r="S21" i="1"/>
  <c r="C21" i="1"/>
  <c r="A20" i="1"/>
  <c r="A18" i="1"/>
  <c r="A19" i="1" s="1"/>
  <c r="A21" i="1" s="1"/>
  <c r="Q14" i="1"/>
  <c r="P14" i="1"/>
  <c r="M14" i="1"/>
  <c r="A14" i="1"/>
  <c r="A15" i="1" s="1"/>
  <c r="AE13" i="1"/>
  <c r="AC13" i="1"/>
  <c r="AB13" i="1"/>
  <c r="AA13" i="1"/>
  <c r="Z13" i="1"/>
  <c r="T13" i="1"/>
  <c r="S13" i="1"/>
  <c r="O12" i="1"/>
  <c r="AD11" i="1"/>
  <c r="AC11" i="1"/>
  <c r="AB11" i="1"/>
  <c r="AA11" i="1"/>
  <c r="Z11" i="1"/>
  <c r="Y11" i="1"/>
  <c r="X11" i="1"/>
  <c r="W11" i="1"/>
  <c r="V11" i="1"/>
  <c r="U11" i="1"/>
  <c r="T11" i="1"/>
  <c r="S11" i="1"/>
  <c r="N11" i="1"/>
  <c r="AD10" i="1"/>
  <c r="AC10" i="1"/>
  <c r="AB10" i="1"/>
  <c r="Y10" i="1"/>
  <c r="X10" i="1"/>
  <c r="W10" i="1"/>
  <c r="V10" i="1"/>
  <c r="U10" i="1"/>
  <c r="T10" i="1"/>
  <c r="R10" i="1"/>
  <c r="AA10" i="1" s="1"/>
  <c r="AD9" i="1"/>
  <c r="AC9" i="1"/>
  <c r="AB9" i="1"/>
  <c r="AA9" i="1"/>
  <c r="Z9" i="1"/>
  <c r="X9" i="1"/>
  <c r="W9" i="1"/>
  <c r="V9" i="1"/>
  <c r="U9" i="1"/>
  <c r="T9" i="1"/>
  <c r="S9" i="1"/>
  <c r="E9" i="1"/>
  <c r="AE8" i="1"/>
  <c r="CS7" i="1"/>
  <c r="CS9" i="1" s="1"/>
  <c r="CS8" i="1" s="1"/>
  <c r="AE7" i="1"/>
  <c r="CS6" i="1"/>
  <c r="BZ6" i="1"/>
  <c r="BQ6" i="1"/>
  <c r="AY6" i="1"/>
  <c r="AW6" i="1"/>
  <c r="AD6" i="1"/>
  <c r="AC6" i="1"/>
  <c r="AC298" i="1" s="1"/>
  <c r="AC273" i="1" s="1"/>
  <c r="AB6" i="1"/>
  <c r="AB298" i="1" s="1"/>
  <c r="AB273" i="1" s="1"/>
  <c r="AA6" i="1"/>
  <c r="AA298" i="1" s="1"/>
  <c r="AA273" i="1" s="1"/>
  <c r="Z6" i="1"/>
  <c r="Z298" i="1" s="1"/>
  <c r="Z273" i="1" s="1"/>
  <c r="Y6" i="1"/>
  <c r="X6" i="1"/>
  <c r="W6" i="1"/>
  <c r="V6" i="1"/>
  <c r="U6" i="1"/>
  <c r="U298" i="1" s="1"/>
  <c r="U273" i="1" s="1"/>
  <c r="T6" i="1"/>
  <c r="T298" i="1" s="1"/>
  <c r="T273" i="1" s="1"/>
  <c r="S6" i="1"/>
  <c r="S298" i="1" s="1"/>
  <c r="S273" i="1" s="1"/>
  <c r="J6" i="1"/>
  <c r="CS5" i="1"/>
  <c r="BQ5" i="1"/>
  <c r="AW5" i="1"/>
  <c r="E6" i="1" s="1"/>
  <c r="J5" i="1"/>
  <c r="CT4" i="1"/>
  <c r="L4" i="1"/>
  <c r="L3" i="1"/>
  <c r="AX2" i="1"/>
  <c r="A61" i="1" l="1"/>
  <c r="A60" i="1"/>
  <c r="F6" i="1"/>
  <c r="A85" i="1"/>
  <c r="A84" i="1"/>
  <c r="B94" i="1"/>
  <c r="Z86" i="1"/>
  <c r="Y298" i="1"/>
  <c r="Y273" i="1" s="1"/>
  <c r="Y13" i="1"/>
  <c r="CU4" i="1"/>
  <c r="A133" i="1"/>
  <c r="A132" i="1"/>
  <c r="AC142" i="1"/>
  <c r="T142" i="1"/>
  <c r="Q142" i="1"/>
  <c r="P144" i="1"/>
  <c r="V142" i="1" s="1"/>
  <c r="AD142" i="1"/>
  <c r="A142" i="1"/>
  <c r="A143" i="1" s="1"/>
  <c r="A146" i="1" s="1"/>
  <c r="A147" i="1" s="1"/>
  <c r="W298" i="1"/>
  <c r="W273" i="1" s="1"/>
  <c r="W13" i="1"/>
  <c r="C326" i="1"/>
  <c r="D325" i="1"/>
  <c r="P240" i="1"/>
  <c r="P184" i="1"/>
  <c r="P160" i="1"/>
  <c r="P200" i="1"/>
  <c r="AC78" i="1"/>
  <c r="T78" i="1"/>
  <c r="Q78" i="1"/>
  <c r="P80" i="1"/>
  <c r="AD78" i="1" s="1"/>
  <c r="P104" i="1"/>
  <c r="CT3" i="1"/>
  <c r="CT5" i="1"/>
  <c r="A76" i="1"/>
  <c r="U13" i="1"/>
  <c r="P16" i="1"/>
  <c r="X14" i="1" s="1"/>
  <c r="P48" i="1"/>
  <c r="V78" i="1"/>
  <c r="A110" i="1"/>
  <c r="A111" i="1" s="1"/>
  <c r="A114" i="1" s="1"/>
  <c r="A115" i="1" s="1"/>
  <c r="P112" i="1"/>
  <c r="Q110" i="1"/>
  <c r="P208" i="1"/>
  <c r="Y9" i="1"/>
  <c r="AE9" i="1" s="1"/>
  <c r="A22" i="1"/>
  <c r="A23" i="1" s="1"/>
  <c r="A26" i="1" s="1"/>
  <c r="A27" i="1" s="1"/>
  <c r="AC22" i="1"/>
  <c r="A30" i="1"/>
  <c r="A31" i="1" s="1"/>
  <c r="A34" i="1" s="1"/>
  <c r="A35" i="1" s="1"/>
  <c r="V30" i="1"/>
  <c r="AC30" i="1"/>
  <c r="W78" i="1"/>
  <c r="AD86" i="1"/>
  <c r="V86" i="1"/>
  <c r="A86" i="1"/>
  <c r="A87" i="1" s="1"/>
  <c r="A90" i="1" s="1"/>
  <c r="A91" i="1" s="1"/>
  <c r="U86" i="1"/>
  <c r="AB86" i="1"/>
  <c r="S86" i="1"/>
  <c r="AA86" i="1"/>
  <c r="Q86" i="1"/>
  <c r="P96" i="1"/>
  <c r="Q134" i="1"/>
  <c r="T134" i="1"/>
  <c r="P136" i="1"/>
  <c r="A134" i="1"/>
  <c r="A135" i="1" s="1"/>
  <c r="A138" i="1" s="1"/>
  <c r="A139" i="1" s="1"/>
  <c r="X298" i="1"/>
  <c r="X273" i="1" s="1"/>
  <c r="X13" i="1"/>
  <c r="AD254" i="1"/>
  <c r="A254" i="1"/>
  <c r="A255" i="1" s="1"/>
  <c r="A258" i="1" s="1"/>
  <c r="A259" i="1" s="1"/>
  <c r="U254" i="1"/>
  <c r="AA254" i="1"/>
  <c r="Q254" i="1"/>
  <c r="P256" i="1"/>
  <c r="V254" i="1" s="1"/>
  <c r="T254" i="1"/>
  <c r="AB254" i="1"/>
  <c r="X254" i="1"/>
  <c r="W254" i="1"/>
  <c r="AC254" i="1"/>
  <c r="S254" i="1"/>
  <c r="V298" i="1"/>
  <c r="V273" i="1" s="1"/>
  <c r="V13" i="1"/>
  <c r="AD298" i="1"/>
  <c r="AD273" i="1" s="1"/>
  <c r="AD13" i="1"/>
  <c r="P24" i="1"/>
  <c r="W22" i="1" s="1"/>
  <c r="P32" i="1"/>
  <c r="AA30" i="1" s="1"/>
  <c r="AD38" i="1"/>
  <c r="A38" i="1"/>
  <c r="A39" i="1" s="1"/>
  <c r="A42" i="1" s="1"/>
  <c r="A43" i="1" s="1"/>
  <c r="AC38" i="1"/>
  <c r="T38" i="1"/>
  <c r="AA38" i="1"/>
  <c r="S38" i="1"/>
  <c r="P40" i="1"/>
  <c r="X62" i="1"/>
  <c r="X78" i="1"/>
  <c r="P88" i="1"/>
  <c r="T86" i="1" s="1"/>
  <c r="A197" i="1"/>
  <c r="A196" i="1"/>
  <c r="Z269" i="1"/>
  <c r="Z316" i="1" s="1"/>
  <c r="X269" i="1"/>
  <c r="X316" i="1" s="1"/>
  <c r="AD269" i="1"/>
  <c r="AD316" i="1" s="1"/>
  <c r="V269" i="1"/>
  <c r="V316" i="1" s="1"/>
  <c r="AB269" i="1"/>
  <c r="AB316" i="1" s="1"/>
  <c r="T269" i="1"/>
  <c r="T316" i="1" s="1"/>
  <c r="AC269" i="1"/>
  <c r="AC316" i="1" s="1"/>
  <c r="W269" i="1"/>
  <c r="W316" i="1" s="1"/>
  <c r="AD261" i="1"/>
  <c r="V261" i="1"/>
  <c r="W253" i="1"/>
  <c r="X245" i="1"/>
  <c r="Y237" i="1"/>
  <c r="AB229" i="1"/>
  <c r="T229" i="1"/>
  <c r="W221" i="1"/>
  <c r="AA269" i="1"/>
  <c r="AA316" i="1" s="1"/>
  <c r="Y269" i="1"/>
  <c r="Y316" i="1" s="1"/>
  <c r="X261" i="1"/>
  <c r="AC253" i="1"/>
  <c r="T253" i="1"/>
  <c r="AA245" i="1"/>
  <c r="C245" i="1"/>
  <c r="X237" i="1"/>
  <c r="W229" i="1"/>
  <c r="AD221" i="1"/>
  <c r="U221" i="1"/>
  <c r="Z213" i="1"/>
  <c r="C213" i="1"/>
  <c r="AD205" i="1"/>
  <c r="V205" i="1"/>
  <c r="Y197" i="1"/>
  <c r="AB189" i="1"/>
  <c r="T189" i="1"/>
  <c r="W181" i="1"/>
  <c r="AA173" i="1"/>
  <c r="S173" i="1"/>
  <c r="AD165" i="1"/>
  <c r="V165" i="1"/>
  <c r="Y157" i="1"/>
  <c r="AC261" i="1"/>
  <c r="T261" i="1"/>
  <c r="Z253" i="1"/>
  <c r="W245" i="1"/>
  <c r="Z261" i="1"/>
  <c r="Y253" i="1"/>
  <c r="AB245" i="1"/>
  <c r="U237" i="1"/>
  <c r="Z229" i="1"/>
  <c r="T221" i="1"/>
  <c r="W213" i="1"/>
  <c r="W205" i="1"/>
  <c r="V197" i="1"/>
  <c r="U269" i="1"/>
  <c r="U316" i="1" s="1"/>
  <c r="C261" i="1"/>
  <c r="C253" i="1"/>
  <c r="T245" i="1"/>
  <c r="AA237" i="1"/>
  <c r="AD229" i="1"/>
  <c r="C229" i="1"/>
  <c r="V221" i="1"/>
  <c r="V213" i="1"/>
  <c r="AC205" i="1"/>
  <c r="S205" i="1"/>
  <c r="AA197" i="1"/>
  <c r="X189" i="1"/>
  <c r="V181" i="1"/>
  <c r="V173" i="1"/>
  <c r="AC165" i="1"/>
  <c r="T165" i="1"/>
  <c r="AC157" i="1"/>
  <c r="T157" i="1"/>
  <c r="AC149" i="1"/>
  <c r="U149" i="1"/>
  <c r="X141" i="1"/>
  <c r="AA133" i="1"/>
  <c r="S133" i="1"/>
  <c r="AD125" i="1"/>
  <c r="V125" i="1"/>
  <c r="S269" i="1"/>
  <c r="S316" i="1" s="1"/>
  <c r="AD253" i="1"/>
  <c r="S245" i="1"/>
  <c r="Z237" i="1"/>
  <c r="AC229" i="1"/>
  <c r="S221" i="1"/>
  <c r="AB261" i="1"/>
  <c r="AB253" i="1"/>
  <c r="AD245" i="1"/>
  <c r="W237" i="1"/>
  <c r="AA229" i="1"/>
  <c r="AC221" i="1"/>
  <c r="C221" i="1"/>
  <c r="AD213" i="1"/>
  <c r="T213" i="1"/>
  <c r="AA261" i="1"/>
  <c r="AA253" i="1"/>
  <c r="AC245" i="1"/>
  <c r="V237" i="1"/>
  <c r="Y229" i="1"/>
  <c r="AB221" i="1"/>
  <c r="AC213" i="1"/>
  <c r="S213" i="1"/>
  <c r="Y261" i="1"/>
  <c r="X253" i="1"/>
  <c r="Z245" i="1"/>
  <c r="T237" i="1"/>
  <c r="X229" i="1"/>
  <c r="AA221" i="1"/>
  <c r="AB213" i="1"/>
  <c r="Y205" i="1"/>
  <c r="U197" i="1"/>
  <c r="U253" i="1"/>
  <c r="AD237" i="1"/>
  <c r="W261" i="1"/>
  <c r="S253" i="1"/>
  <c r="AC237" i="1"/>
  <c r="AA213" i="1"/>
  <c r="Z197" i="1"/>
  <c r="V189" i="1"/>
  <c r="U261" i="1"/>
  <c r="AB237" i="1"/>
  <c r="Y213" i="1"/>
  <c r="AB205" i="1"/>
  <c r="X197" i="1"/>
  <c r="U189" i="1"/>
  <c r="AA181" i="1"/>
  <c r="W173" i="1"/>
  <c r="AA165" i="1"/>
  <c r="W157" i="1"/>
  <c r="AD149" i="1"/>
  <c r="T149" i="1"/>
  <c r="AB141" i="1"/>
  <c r="S141" i="1"/>
  <c r="Z133" i="1"/>
  <c r="Y125" i="1"/>
  <c r="AD117" i="1"/>
  <c r="V117" i="1"/>
  <c r="W109" i="1"/>
  <c r="W101" i="1"/>
  <c r="Z93" i="1"/>
  <c r="C93" i="1"/>
  <c r="S261" i="1"/>
  <c r="U229" i="1"/>
  <c r="X213" i="1"/>
  <c r="T205" i="1"/>
  <c r="S197" i="1"/>
  <c r="S189" i="1"/>
  <c r="Y181" i="1"/>
  <c r="AD173" i="1"/>
  <c r="C173" i="1"/>
  <c r="W165" i="1"/>
  <c r="AB157" i="1"/>
  <c r="W149" i="1"/>
  <c r="AA141" i="1"/>
  <c r="V133" i="1"/>
  <c r="Y221" i="1"/>
  <c r="AD189" i="1"/>
  <c r="U181" i="1"/>
  <c r="AB173" i="1"/>
  <c r="S165" i="1"/>
  <c r="Z157" i="1"/>
  <c r="S149" i="1"/>
  <c r="Y141" i="1"/>
  <c r="AD133" i="1"/>
  <c r="X221" i="1"/>
  <c r="AD197" i="1"/>
  <c r="AC189" i="1"/>
  <c r="T181" i="1"/>
  <c r="Z173" i="1"/>
  <c r="C165" i="1"/>
  <c r="X157" i="1"/>
  <c r="AB149" i="1"/>
  <c r="C149" i="1"/>
  <c r="W141" i="1"/>
  <c r="AC133" i="1"/>
  <c r="C133" i="1"/>
  <c r="X125" i="1"/>
  <c r="Z117" i="1"/>
  <c r="V109" i="1"/>
  <c r="AA101" i="1"/>
  <c r="C101" i="1"/>
  <c r="AA93" i="1"/>
  <c r="W85" i="1"/>
  <c r="Z77" i="1"/>
  <c r="C77" i="1"/>
  <c r="AC69" i="1"/>
  <c r="U69" i="1"/>
  <c r="X61" i="1"/>
  <c r="AA53" i="1"/>
  <c r="S53" i="1"/>
  <c r="W45" i="1"/>
  <c r="C237" i="1"/>
  <c r="AA205" i="1"/>
  <c r="AA189" i="1"/>
  <c r="Z181" i="1"/>
  <c r="U165" i="1"/>
  <c r="V149" i="1"/>
  <c r="U141" i="1"/>
  <c r="U133" i="1"/>
  <c r="AA125" i="1"/>
  <c r="Y117" i="1"/>
  <c r="AC109" i="1"/>
  <c r="S109" i="1"/>
  <c r="U101" i="1"/>
  <c r="AB93" i="1"/>
  <c r="Y245" i="1"/>
  <c r="Z205" i="1"/>
  <c r="AC197" i="1"/>
  <c r="Z189" i="1"/>
  <c r="X181" i="1"/>
  <c r="AD157" i="1"/>
  <c r="T141" i="1"/>
  <c r="T133" i="1"/>
  <c r="Z125" i="1"/>
  <c r="X117" i="1"/>
  <c r="AB109" i="1"/>
  <c r="C109" i="1"/>
  <c r="AD101" i="1"/>
  <c r="T101" i="1"/>
  <c r="Y93" i="1"/>
  <c r="U245" i="1"/>
  <c r="S229" i="1"/>
  <c r="U205" i="1"/>
  <c r="W197" i="1"/>
  <c r="W189" i="1"/>
  <c r="C181" i="1"/>
  <c r="Y173" i="1"/>
  <c r="V157" i="1"/>
  <c r="U125" i="1"/>
  <c r="U117" i="1"/>
  <c r="C205" i="1"/>
  <c r="T197" i="1"/>
  <c r="C189" i="1"/>
  <c r="X173" i="1"/>
  <c r="AB165" i="1"/>
  <c r="U157" i="1"/>
  <c r="AA149" i="1"/>
  <c r="AD141" i="1"/>
  <c r="AB133" i="1"/>
  <c r="T125" i="1"/>
  <c r="T117" i="1"/>
  <c r="Y109" i="1"/>
  <c r="Z101" i="1"/>
  <c r="U21" i="1"/>
  <c r="AC21" i="1"/>
  <c r="T29" i="1"/>
  <c r="AB29" i="1"/>
  <c r="T37" i="1"/>
  <c r="AB37" i="1"/>
  <c r="T45" i="1"/>
  <c r="AC45" i="1"/>
  <c r="U53" i="1"/>
  <c r="AD53" i="1"/>
  <c r="V61" i="1"/>
  <c r="A62" i="1"/>
  <c r="A63" i="1" s="1"/>
  <c r="A66" i="1" s="1"/>
  <c r="A67" i="1" s="1"/>
  <c r="X69" i="1"/>
  <c r="Y77" i="1"/>
  <c r="Z85" i="1"/>
  <c r="T93" i="1"/>
  <c r="S101" i="1"/>
  <c r="U109" i="1"/>
  <c r="S117" i="1"/>
  <c r="AC125" i="1"/>
  <c r="Y189" i="1"/>
  <c r="V21" i="1"/>
  <c r="AD21" i="1"/>
  <c r="U29" i="1"/>
  <c r="AC29" i="1"/>
  <c r="U37" i="1"/>
  <c r="AC37" i="1"/>
  <c r="U45" i="1"/>
  <c r="AD45" i="1"/>
  <c r="V53" i="1"/>
  <c r="W61" i="1"/>
  <c r="W62" i="1"/>
  <c r="Y62" i="1"/>
  <c r="Y69" i="1"/>
  <c r="P72" i="1"/>
  <c r="AA70" i="1" s="1"/>
  <c r="AA77" i="1"/>
  <c r="C85" i="1"/>
  <c r="AA85" i="1"/>
  <c r="U93" i="1"/>
  <c r="AA94" i="1"/>
  <c r="Q94" i="1"/>
  <c r="AD94" i="1"/>
  <c r="AC94" i="1"/>
  <c r="S94" i="1"/>
  <c r="V101" i="1"/>
  <c r="X109" i="1"/>
  <c r="W117" i="1"/>
  <c r="W133" i="1"/>
  <c r="C141" i="1"/>
  <c r="T173" i="1"/>
  <c r="C197" i="1"/>
  <c r="Z10" i="1"/>
  <c r="W21" i="1"/>
  <c r="V29" i="1"/>
  <c r="AD29" i="1"/>
  <c r="V37" i="1"/>
  <c r="AD37" i="1"/>
  <c r="V45" i="1"/>
  <c r="W46" i="1"/>
  <c r="A46" i="1"/>
  <c r="A47" i="1" s="1"/>
  <c r="A50" i="1" s="1"/>
  <c r="A51" i="1" s="1"/>
  <c r="Y46" i="1"/>
  <c r="W53" i="1"/>
  <c r="Y61" i="1"/>
  <c r="Z62" i="1"/>
  <c r="P64" i="1"/>
  <c r="Z69" i="1"/>
  <c r="Q70" i="1"/>
  <c r="S77" i="1"/>
  <c r="AB77" i="1"/>
  <c r="S85" i="1"/>
  <c r="AB85" i="1"/>
  <c r="V93" i="1"/>
  <c r="X101" i="1"/>
  <c r="Z109" i="1"/>
  <c r="AA117" i="1"/>
  <c r="X133" i="1"/>
  <c r="V141" i="1"/>
  <c r="C157" i="1"/>
  <c r="U173" i="1"/>
  <c r="S181" i="1"/>
  <c r="AB197" i="1"/>
  <c r="U213" i="1"/>
  <c r="S237" i="1"/>
  <c r="V253" i="1"/>
  <c r="AW4" i="1"/>
  <c r="E5" i="1" s="1"/>
  <c r="S10" i="1"/>
  <c r="X21" i="1"/>
  <c r="W29" i="1"/>
  <c r="W37" i="1"/>
  <c r="X45" i="1"/>
  <c r="Z46" i="1"/>
  <c r="X53" i="1"/>
  <c r="Z54" i="1"/>
  <c r="Q54" i="1"/>
  <c r="Y54" i="1"/>
  <c r="P56" i="1"/>
  <c r="Z61" i="1"/>
  <c r="Q62" i="1"/>
  <c r="AA62" i="1"/>
  <c r="C69" i="1"/>
  <c r="AA69" i="1"/>
  <c r="S70" i="1"/>
  <c r="AC70" i="1"/>
  <c r="T77" i="1"/>
  <c r="AC77" i="1"/>
  <c r="T85" i="1"/>
  <c r="AC85" i="1"/>
  <c r="W93" i="1"/>
  <c r="U94" i="1"/>
  <c r="Y101" i="1"/>
  <c r="AA109" i="1"/>
  <c r="AB117" i="1"/>
  <c r="X126" i="1"/>
  <c r="Y133" i="1"/>
  <c r="Z141" i="1"/>
  <c r="X149" i="1"/>
  <c r="S157" i="1"/>
  <c r="X165" i="1"/>
  <c r="AC173" i="1"/>
  <c r="AB181" i="1"/>
  <c r="Z221" i="1"/>
  <c r="V229" i="1"/>
  <c r="A118" i="1"/>
  <c r="A119" i="1" s="1"/>
  <c r="A122" i="1" s="1"/>
  <c r="A123" i="1" s="1"/>
  <c r="AD118" i="1"/>
  <c r="P120" i="1"/>
  <c r="AB118" i="1" s="1"/>
  <c r="S118" i="1"/>
  <c r="Z118" i="1"/>
  <c r="AC126" i="1"/>
  <c r="U126" i="1"/>
  <c r="P128" i="1"/>
  <c r="Z126" i="1" s="1"/>
  <c r="P152" i="1"/>
  <c r="AC150" i="1" s="1"/>
  <c r="U150" i="1"/>
  <c r="V150" i="1"/>
  <c r="A150" i="1"/>
  <c r="A151" i="1" s="1"/>
  <c r="A154" i="1" s="1"/>
  <c r="A155" i="1" s="1"/>
  <c r="AC166" i="1"/>
  <c r="U166" i="1"/>
  <c r="A166" i="1"/>
  <c r="A167" i="1" s="1"/>
  <c r="A170" i="1" s="1"/>
  <c r="A171" i="1" s="1"/>
  <c r="AA182" i="1"/>
  <c r="A204" i="1"/>
  <c r="A205" i="1"/>
  <c r="Y214" i="1"/>
  <c r="P216" i="1"/>
  <c r="W214" i="1" s="1"/>
  <c r="U214" i="1"/>
  <c r="AD214" i="1"/>
  <c r="T214" i="1"/>
  <c r="AC214" i="1"/>
  <c r="S214" i="1"/>
  <c r="A214" i="1"/>
  <c r="A215" i="1" s="1"/>
  <c r="A218" i="1" s="1"/>
  <c r="A219" i="1" s="1"/>
  <c r="Z214" i="1"/>
  <c r="V214" i="1"/>
  <c r="Q118" i="1"/>
  <c r="AC118" i="1"/>
  <c r="Q126" i="1"/>
  <c r="Q150" i="1"/>
  <c r="Q166" i="1"/>
  <c r="P168" i="1"/>
  <c r="AA174" i="1"/>
  <c r="S174" i="1"/>
  <c r="X174" i="1"/>
  <c r="A174" i="1"/>
  <c r="A175" i="1" s="1"/>
  <c r="A178" i="1" s="1"/>
  <c r="A179" i="1" s="1"/>
  <c r="P176" i="1"/>
  <c r="Y174" i="1" s="1"/>
  <c r="V174" i="1"/>
  <c r="U174" i="1"/>
  <c r="Q214" i="1"/>
  <c r="A237" i="1"/>
  <c r="A236" i="1"/>
  <c r="W102" i="1"/>
  <c r="A102" i="1"/>
  <c r="A103" i="1" s="1"/>
  <c r="A106" i="1" s="1"/>
  <c r="A107" i="1" s="1"/>
  <c r="AC102" i="1"/>
  <c r="T102" i="1"/>
  <c r="Z102" i="1"/>
  <c r="T118" i="1"/>
  <c r="S126" i="1"/>
  <c r="AD182" i="1"/>
  <c r="V182" i="1"/>
  <c r="A182" i="1"/>
  <c r="A183" i="1" s="1"/>
  <c r="A186" i="1" s="1"/>
  <c r="A187" i="1" s="1"/>
  <c r="X182" i="1"/>
  <c r="T182" i="1"/>
  <c r="AC182" i="1"/>
  <c r="S182" i="1"/>
  <c r="AB182" i="1"/>
  <c r="W246" i="1"/>
  <c r="AA246" i="1"/>
  <c r="Q246" i="1"/>
  <c r="P248" i="1"/>
  <c r="U246" i="1" s="1"/>
  <c r="A246" i="1"/>
  <c r="A247" i="1" s="1"/>
  <c r="A250" i="1" s="1"/>
  <c r="A251" i="1" s="1"/>
  <c r="Y246" i="1"/>
  <c r="V246" i="1"/>
  <c r="Q182" i="1"/>
  <c r="X198" i="1"/>
  <c r="Z222" i="1"/>
  <c r="AD246" i="1"/>
  <c r="X158" i="1"/>
  <c r="A212" i="1"/>
  <c r="P232" i="1"/>
  <c r="AA230" i="1" s="1"/>
  <c r="AD230" i="1"/>
  <c r="T230" i="1"/>
  <c r="Y230" i="1"/>
  <c r="W230" i="1"/>
  <c r="V230" i="1"/>
  <c r="Q230" i="1"/>
  <c r="X222" i="1"/>
  <c r="G290" i="1"/>
  <c r="AD222" i="1"/>
  <c r="V222" i="1"/>
  <c r="A222" i="1"/>
  <c r="A223" i="1" s="1"/>
  <c r="A226" i="1" s="1"/>
  <c r="A227" i="1" s="1"/>
  <c r="W222" i="1"/>
  <c r="P224" i="1"/>
  <c r="Y222" i="1"/>
  <c r="AA222" i="1"/>
  <c r="P192" i="1"/>
  <c r="AA190" i="1"/>
  <c r="S190" i="1"/>
  <c r="AB222" i="1"/>
  <c r="G294" i="1"/>
  <c r="AE264" i="1"/>
  <c r="AD206" i="1"/>
  <c r="V206" i="1"/>
  <c r="Y206" i="1"/>
  <c r="AE302" i="1"/>
  <c r="AF302" i="1" s="1"/>
  <c r="X238" i="1"/>
  <c r="G292" i="1"/>
  <c r="G324" i="1"/>
  <c r="G349" i="1" s="1"/>
  <c r="AC152" i="1" l="1"/>
  <c r="AC156" i="1"/>
  <c r="U252" i="1"/>
  <c r="U248" i="1"/>
  <c r="Y232" i="1"/>
  <c r="Y236" i="1"/>
  <c r="AA248" i="1"/>
  <c r="AA252" i="1"/>
  <c r="V188" i="1"/>
  <c r="V184" i="1"/>
  <c r="X176" i="1"/>
  <c r="X180" i="1"/>
  <c r="U220" i="1"/>
  <c r="U216" i="1"/>
  <c r="U172" i="1"/>
  <c r="U168" i="1"/>
  <c r="U170" i="1" s="1"/>
  <c r="Z132" i="1"/>
  <c r="Z128" i="1"/>
  <c r="AC72" i="1"/>
  <c r="AC76" i="1"/>
  <c r="T236" i="1"/>
  <c r="T232" i="1"/>
  <c r="W248" i="1"/>
  <c r="W252" i="1"/>
  <c r="AD184" i="1"/>
  <c r="AD188" i="1"/>
  <c r="S176" i="1"/>
  <c r="S180" i="1"/>
  <c r="V216" i="1"/>
  <c r="V220" i="1"/>
  <c r="W220" i="1"/>
  <c r="W216" i="1"/>
  <c r="AC172" i="1"/>
  <c r="AC168" i="1"/>
  <c r="U132" i="1"/>
  <c r="U128" i="1"/>
  <c r="Y56" i="1"/>
  <c r="Y60" i="1"/>
  <c r="AD232" i="1"/>
  <c r="AD236" i="1"/>
  <c r="S128" i="1"/>
  <c r="S132" i="1"/>
  <c r="AA180" i="1"/>
  <c r="AA176" i="1"/>
  <c r="Z220" i="1"/>
  <c r="Z216" i="1"/>
  <c r="Z218" i="1" s="1"/>
  <c r="Y150" i="1"/>
  <c r="AC132" i="1"/>
  <c r="AC128" i="1"/>
  <c r="AA236" i="1"/>
  <c r="AA232" i="1"/>
  <c r="V252" i="1"/>
  <c r="V248" i="1"/>
  <c r="V250" i="1" s="1"/>
  <c r="T124" i="1"/>
  <c r="T120" i="1"/>
  <c r="AA166" i="1"/>
  <c r="X166" i="1"/>
  <c r="W166" i="1"/>
  <c r="AD166" i="1"/>
  <c r="T166" i="1"/>
  <c r="AB166" i="1"/>
  <c r="S166" i="1"/>
  <c r="Z166" i="1"/>
  <c r="Y166" i="1"/>
  <c r="Z124" i="1"/>
  <c r="Z120" i="1"/>
  <c r="Z56" i="1"/>
  <c r="Z60" i="1"/>
  <c r="S192" i="1"/>
  <c r="S196" i="1"/>
  <c r="V224" i="1"/>
  <c r="V228" i="1"/>
  <c r="X224" i="1"/>
  <c r="X228" i="1"/>
  <c r="Y252" i="1"/>
  <c r="Y248" i="1"/>
  <c r="Y250" i="1" s="1"/>
  <c r="Z104" i="1"/>
  <c r="Z108" i="1"/>
  <c r="U180" i="1"/>
  <c r="U176" i="1"/>
  <c r="V152" i="1"/>
  <c r="V156" i="1"/>
  <c r="S120" i="1"/>
  <c r="S124" i="1"/>
  <c r="AA72" i="1"/>
  <c r="AA76" i="1"/>
  <c r="AA196" i="1"/>
  <c r="AA192" i="1"/>
  <c r="AD228" i="1"/>
  <c r="AD224" i="1"/>
  <c r="X164" i="1"/>
  <c r="X160" i="1"/>
  <c r="A253" i="1"/>
  <c r="A252" i="1"/>
  <c r="T104" i="1"/>
  <c r="T108" i="1"/>
  <c r="V176" i="1"/>
  <c r="V180" i="1"/>
  <c r="AC220" i="1"/>
  <c r="AC216" i="1"/>
  <c r="AA184" i="1"/>
  <c r="AA188" i="1"/>
  <c r="U152" i="1"/>
  <c r="U156" i="1"/>
  <c r="AB124" i="1"/>
  <c r="AB120" i="1"/>
  <c r="AA68" i="1"/>
  <c r="AA64" i="1"/>
  <c r="X240" i="1"/>
  <c r="X244" i="1"/>
  <c r="AD190" i="1"/>
  <c r="X190" i="1"/>
  <c r="W190" i="1"/>
  <c r="AB190" i="1"/>
  <c r="V190" i="1"/>
  <c r="U190" i="1"/>
  <c r="AC190" i="1"/>
  <c r="Z190" i="1"/>
  <c r="T190" i="1"/>
  <c r="Y190" i="1"/>
  <c r="AD248" i="1"/>
  <c r="AD252" i="1"/>
  <c r="X246" i="1"/>
  <c r="AC246" i="1"/>
  <c r="T246" i="1"/>
  <c r="S246" i="1"/>
  <c r="AB246" i="1"/>
  <c r="Z246" i="1"/>
  <c r="X184" i="1"/>
  <c r="X188" i="1"/>
  <c r="Y176" i="1"/>
  <c r="Y178" i="1" s="1"/>
  <c r="Y180" i="1"/>
  <c r="T220" i="1"/>
  <c r="T216" i="1"/>
  <c r="A172" i="1"/>
  <c r="A173" i="1"/>
  <c r="X128" i="1"/>
  <c r="X132" i="1"/>
  <c r="V208" i="1"/>
  <c r="V212" i="1"/>
  <c r="Y228" i="1"/>
  <c r="Y224" i="1"/>
  <c r="Y208" i="1"/>
  <c r="Y210" i="1" s="1"/>
  <c r="Y212" i="1"/>
  <c r="AA228" i="1"/>
  <c r="AA224" i="1"/>
  <c r="W236" i="1"/>
  <c r="W232" i="1"/>
  <c r="Z228" i="1"/>
  <c r="Z224" i="1"/>
  <c r="A188" i="1"/>
  <c r="A189" i="1"/>
  <c r="AC124" i="1"/>
  <c r="AC120" i="1"/>
  <c r="AD220" i="1"/>
  <c r="AD216" i="1"/>
  <c r="V166" i="1"/>
  <c r="AA150" i="1"/>
  <c r="W150" i="1"/>
  <c r="T150" i="1"/>
  <c r="AD150" i="1"/>
  <c r="X150" i="1"/>
  <c r="S150" i="1"/>
  <c r="AB150" i="1"/>
  <c r="Z150" i="1"/>
  <c r="A125" i="1"/>
  <c r="A124" i="1"/>
  <c r="AD208" i="1"/>
  <c r="AD212" i="1"/>
  <c r="T222" i="1"/>
  <c r="S222" i="1"/>
  <c r="AC222" i="1"/>
  <c r="U222" i="1"/>
  <c r="X230" i="1"/>
  <c r="X200" i="1"/>
  <c r="X204" i="1"/>
  <c r="AB184" i="1"/>
  <c r="AB188" i="1"/>
  <c r="AC108" i="1"/>
  <c r="AC104" i="1"/>
  <c r="AA214" i="1"/>
  <c r="X214" i="1"/>
  <c r="A157" i="1"/>
  <c r="A156" i="1"/>
  <c r="Y126" i="1"/>
  <c r="S72" i="1"/>
  <c r="S76" i="1"/>
  <c r="A52" i="1"/>
  <c r="A53" i="1"/>
  <c r="AD100" i="1"/>
  <c r="AD96" i="1"/>
  <c r="AC44" i="1"/>
  <c r="AC40" i="1"/>
  <c r="U134" i="1"/>
  <c r="X134" i="1"/>
  <c r="AD134" i="1"/>
  <c r="AB134" i="1"/>
  <c r="S134" i="1"/>
  <c r="AC134" i="1"/>
  <c r="Y134" i="1"/>
  <c r="AA134" i="1"/>
  <c r="W134" i="1"/>
  <c r="V134" i="1"/>
  <c r="AC110" i="1"/>
  <c r="U110" i="1"/>
  <c r="T110" i="1"/>
  <c r="Z110" i="1"/>
  <c r="AB110" i="1"/>
  <c r="AD110" i="1"/>
  <c r="AA110" i="1"/>
  <c r="V110" i="1"/>
  <c r="Y110" i="1"/>
  <c r="W110" i="1"/>
  <c r="A148" i="1"/>
  <c r="A149" i="1"/>
  <c r="AB228" i="1"/>
  <c r="AB224" i="1"/>
  <c r="W224" i="1"/>
  <c r="W228" i="1"/>
  <c r="S230" i="1"/>
  <c r="S188" i="1"/>
  <c r="S184" i="1"/>
  <c r="AC174" i="1"/>
  <c r="Z174" i="1"/>
  <c r="AD174" i="1"/>
  <c r="W174" i="1"/>
  <c r="T174" i="1"/>
  <c r="AE174" i="1" s="1"/>
  <c r="AG175" i="1" s="1"/>
  <c r="AH175" i="1" s="1"/>
  <c r="AA118" i="1"/>
  <c r="X118" i="1"/>
  <c r="W118" i="1"/>
  <c r="U118" i="1"/>
  <c r="Y118" i="1"/>
  <c r="Y64" i="1"/>
  <c r="Y66" i="1" s="1"/>
  <c r="Y68" i="1"/>
  <c r="Y70" i="1"/>
  <c r="T92" i="1"/>
  <c r="T88" i="1"/>
  <c r="A44" i="1"/>
  <c r="A45" i="1"/>
  <c r="T136" i="1"/>
  <c r="T140" i="1"/>
  <c r="U88" i="1"/>
  <c r="U92" i="1"/>
  <c r="AC28" i="1"/>
  <c r="AC24" i="1"/>
  <c r="AD144" i="1"/>
  <c r="AD148" i="1"/>
  <c r="A108" i="1"/>
  <c r="A109" i="1"/>
  <c r="A221" i="1"/>
  <c r="A220" i="1"/>
  <c r="AA126" i="1"/>
  <c r="U100" i="1"/>
  <c r="U96" i="1"/>
  <c r="A228" i="1"/>
  <c r="A229" i="1"/>
  <c r="U230" i="1"/>
  <c r="AC184" i="1"/>
  <c r="AC188" i="1"/>
  <c r="W104" i="1"/>
  <c r="W108" i="1"/>
  <c r="AB174" i="1"/>
  <c r="AD126" i="1"/>
  <c r="AB214" i="1"/>
  <c r="V118" i="1"/>
  <c r="AE118" i="1" s="1"/>
  <c r="AG119" i="1" s="1"/>
  <c r="Z52" i="1"/>
  <c r="Z48" i="1"/>
  <c r="Z64" i="1"/>
  <c r="Z68" i="1"/>
  <c r="AA96" i="1"/>
  <c r="AA98" i="1" s="1"/>
  <c r="AA100" i="1"/>
  <c r="V186" i="1"/>
  <c r="T70" i="1"/>
  <c r="Z122" i="1"/>
  <c r="S258" i="1"/>
  <c r="V210" i="1"/>
  <c r="V218" i="1"/>
  <c r="S130" i="1"/>
  <c r="X80" i="1"/>
  <c r="X84" i="1"/>
  <c r="A93" i="1"/>
  <c r="A92" i="1"/>
  <c r="A28" i="1"/>
  <c r="A29" i="1"/>
  <c r="U102" i="1"/>
  <c r="X102" i="1"/>
  <c r="V102" i="1"/>
  <c r="S102" i="1"/>
  <c r="AA102" i="1"/>
  <c r="AB102" i="1"/>
  <c r="AD102" i="1"/>
  <c r="V236" i="1"/>
  <c r="V232" i="1"/>
  <c r="AC230" i="1"/>
  <c r="AB230" i="1"/>
  <c r="Z230" i="1"/>
  <c r="T188" i="1"/>
  <c r="T184" i="1"/>
  <c r="A180" i="1"/>
  <c r="A181" i="1"/>
  <c r="AE214" i="1"/>
  <c r="AG215" i="1" s="1"/>
  <c r="AH215" i="1" s="1"/>
  <c r="S220" i="1"/>
  <c r="S216" i="1"/>
  <c r="Y216" i="1"/>
  <c r="Y220" i="1"/>
  <c r="AB126" i="1"/>
  <c r="T126" i="1"/>
  <c r="V126" i="1"/>
  <c r="W126" i="1"/>
  <c r="AD124" i="1"/>
  <c r="AD120" i="1"/>
  <c r="X54" i="1"/>
  <c r="W54" i="1"/>
  <c r="V54" i="1"/>
  <c r="AA54" i="1"/>
  <c r="U54" i="1"/>
  <c r="T54" i="1"/>
  <c r="S54" i="1"/>
  <c r="AC54" i="1"/>
  <c r="AB54" i="1"/>
  <c r="AD54" i="1"/>
  <c r="U250" i="1"/>
  <c r="Y218" i="1"/>
  <c r="X64" i="1"/>
  <c r="X66" i="1" s="1"/>
  <c r="X68" i="1"/>
  <c r="AA36" i="1"/>
  <c r="AA32" i="1"/>
  <c r="Z134" i="1"/>
  <c r="W24" i="1"/>
  <c r="W28" i="1"/>
  <c r="AD256" i="1"/>
  <c r="AD258" i="1" s="1"/>
  <c r="AD260" i="1"/>
  <c r="Z94" i="1"/>
  <c r="X94" i="1"/>
  <c r="V94" i="1"/>
  <c r="W94" i="1"/>
  <c r="Y94" i="1"/>
  <c r="AB94" i="1"/>
  <c r="T94" i="1"/>
  <c r="X16" i="1"/>
  <c r="X20" i="1"/>
  <c r="C327" i="1"/>
  <c r="D326" i="1"/>
  <c r="T144" i="1"/>
  <c r="T148" i="1"/>
  <c r="U70" i="1"/>
  <c r="V70" i="1"/>
  <c r="X70" i="1"/>
  <c r="AD70" i="1"/>
  <c r="W70" i="1"/>
  <c r="AB70" i="1"/>
  <c r="AB260" i="1"/>
  <c r="AB256" i="1"/>
  <c r="T80" i="1"/>
  <c r="T84" i="1"/>
  <c r="AC148" i="1"/>
  <c r="AC144" i="1"/>
  <c r="T106" i="1"/>
  <c r="AC130" i="1"/>
  <c r="Z66" i="1"/>
  <c r="AA74" i="1"/>
  <c r="W66" i="1"/>
  <c r="T122" i="1"/>
  <c r="Y58" i="1"/>
  <c r="AD42" i="1"/>
  <c r="W50" i="1"/>
  <c r="AA34" i="1"/>
  <c r="AB186" i="1"/>
  <c r="AD250" i="1"/>
  <c r="V226" i="1"/>
  <c r="AA186" i="1"/>
  <c r="AA234" i="1"/>
  <c r="S122" i="1"/>
  <c r="W106" i="1"/>
  <c r="AC154" i="1"/>
  <c r="S178" i="1"/>
  <c r="AC106" i="1"/>
  <c r="Z50" i="1"/>
  <c r="T90" i="1"/>
  <c r="AA226" i="1"/>
  <c r="Z226" i="1"/>
  <c r="AC82" i="1"/>
  <c r="AC26" i="1"/>
  <c r="AC258" i="1"/>
  <c r="AC218" i="1"/>
  <c r="Y234" i="1"/>
  <c r="W218" i="1"/>
  <c r="S218" i="1"/>
  <c r="X162" i="1"/>
  <c r="AD122" i="1"/>
  <c r="AD226" i="1"/>
  <c r="T234" i="1"/>
  <c r="AD218" i="1"/>
  <c r="X178" i="1"/>
  <c r="Z106" i="1"/>
  <c r="AD90" i="1"/>
  <c r="X130" i="1"/>
  <c r="AC74" i="1"/>
  <c r="U178" i="1"/>
  <c r="S96" i="1"/>
  <c r="S100" i="1"/>
  <c r="AE94" i="1"/>
  <c r="AG95" i="1" s="1"/>
  <c r="AH95" i="1" s="1"/>
  <c r="Z70" i="1"/>
  <c r="T138" i="1"/>
  <c r="Z130" i="1"/>
  <c r="AC186" i="1"/>
  <c r="T218" i="1"/>
  <c r="U218" i="1"/>
  <c r="T260" i="1"/>
  <c r="T256" i="1"/>
  <c r="T258" i="1" s="1"/>
  <c r="AC36" i="1"/>
  <c r="AC32" i="1"/>
  <c r="S110" i="1"/>
  <c r="Y102" i="1"/>
  <c r="AC84" i="1"/>
  <c r="AC80" i="1"/>
  <c r="Y52" i="1"/>
  <c r="Y48" i="1"/>
  <c r="W234" i="1"/>
  <c r="AC100" i="1"/>
  <c r="AC96" i="1"/>
  <c r="AC98" i="1" s="1"/>
  <c r="Y50" i="1"/>
  <c r="V178" i="1"/>
  <c r="U130" i="1"/>
  <c r="X242" i="1"/>
  <c r="V256" i="1"/>
  <c r="V260" i="1"/>
  <c r="V32" i="1"/>
  <c r="V36" i="1"/>
  <c r="X110" i="1"/>
  <c r="W48" i="1"/>
  <c r="W52" i="1"/>
  <c r="W68" i="1"/>
  <c r="W64" i="1"/>
  <c r="A69" i="1"/>
  <c r="A68" i="1"/>
  <c r="AE316" i="1"/>
  <c r="Z38" i="1"/>
  <c r="X38" i="1"/>
  <c r="W38" i="1"/>
  <c r="V38" i="1"/>
  <c r="S260" i="1"/>
  <c r="S256" i="1"/>
  <c r="V92" i="1"/>
  <c r="V88" i="1"/>
  <c r="AD30" i="1"/>
  <c r="V22" i="1"/>
  <c r="A117" i="1"/>
  <c r="A116" i="1"/>
  <c r="U78" i="1"/>
  <c r="Z78" i="1"/>
  <c r="Y78" i="1"/>
  <c r="S142" i="1"/>
  <c r="W142" i="1"/>
  <c r="Z59" i="1"/>
  <c r="Z51" i="1"/>
  <c r="AC27" i="1"/>
  <c r="AC107" i="1"/>
  <c r="AA35" i="1"/>
  <c r="AC99" i="1"/>
  <c r="AA43" i="1"/>
  <c r="Y51" i="1"/>
  <c r="AC35" i="1"/>
  <c r="S44" i="1"/>
  <c r="S40" i="1"/>
  <c r="S42" i="1" s="1"/>
  <c r="AD40" i="1"/>
  <c r="AD44" i="1"/>
  <c r="AC260" i="1"/>
  <c r="AC256" i="1"/>
  <c r="AA92" i="1"/>
  <c r="AA88" i="1"/>
  <c r="AA90" i="1" s="1"/>
  <c r="AD92" i="1"/>
  <c r="AD88" i="1"/>
  <c r="AD91" i="1" s="1"/>
  <c r="A36" i="1"/>
  <c r="A37" i="1"/>
  <c r="AD22" i="1"/>
  <c r="AD80" i="1"/>
  <c r="AD84" i="1"/>
  <c r="V198" i="1"/>
  <c r="AB198" i="1"/>
  <c r="W198" i="1"/>
  <c r="AD198" i="1"/>
  <c r="AC198" i="1"/>
  <c r="AA198" i="1"/>
  <c r="Y198" i="1"/>
  <c r="U198" i="1"/>
  <c r="Z198" i="1"/>
  <c r="S198" i="1"/>
  <c r="T198" i="1"/>
  <c r="V144" i="1"/>
  <c r="V148" i="1"/>
  <c r="AA44" i="1"/>
  <c r="AA40" i="1"/>
  <c r="S30" i="1"/>
  <c r="X30" i="1"/>
  <c r="W256" i="1"/>
  <c r="W258" i="1" s="1"/>
  <c r="W260" i="1"/>
  <c r="AA260" i="1"/>
  <c r="AA256" i="1"/>
  <c r="S92" i="1"/>
  <c r="S88" i="1"/>
  <c r="W84" i="1"/>
  <c r="W80" i="1"/>
  <c r="W82" i="1" s="1"/>
  <c r="W30" i="1"/>
  <c r="Z30" i="1"/>
  <c r="AC158" i="1"/>
  <c r="T158" i="1"/>
  <c r="Z158" i="1"/>
  <c r="U158" i="1"/>
  <c r="AD158" i="1"/>
  <c r="AB158" i="1"/>
  <c r="Y158" i="1"/>
  <c r="W158" i="1"/>
  <c r="S158" i="1"/>
  <c r="AA158" i="1"/>
  <c r="V158" i="1"/>
  <c r="AA142" i="1"/>
  <c r="T40" i="1"/>
  <c r="T44" i="1"/>
  <c r="S22" i="1"/>
  <c r="X22" i="1"/>
  <c r="X256" i="1"/>
  <c r="X258" i="1" s="1"/>
  <c r="X260" i="1"/>
  <c r="U256" i="1"/>
  <c r="U260" i="1"/>
  <c r="AB88" i="1"/>
  <c r="AB91" i="1" s="1"/>
  <c r="AB92" i="1"/>
  <c r="T30" i="1"/>
  <c r="T22" i="1"/>
  <c r="V84" i="1"/>
  <c r="V80" i="1"/>
  <c r="Z22" i="1"/>
  <c r="AA78" i="1"/>
  <c r="W182" i="1"/>
  <c r="U182" i="1"/>
  <c r="AE182" i="1" s="1"/>
  <c r="AG183" i="1" s="1"/>
  <c r="AH183" i="1" s="1"/>
  <c r="Z182" i="1"/>
  <c r="Y182" i="1"/>
  <c r="X142" i="1"/>
  <c r="Y30" i="1"/>
  <c r="Z88" i="1"/>
  <c r="Z92" i="1"/>
  <c r="AB38" i="1"/>
  <c r="Y254" i="1"/>
  <c r="A260" i="1"/>
  <c r="A261" i="1"/>
  <c r="A141" i="1"/>
  <c r="A140" i="1"/>
  <c r="AB30" i="1"/>
  <c r="AB22" i="1"/>
  <c r="W206" i="1"/>
  <c r="T206" i="1"/>
  <c r="AC206" i="1"/>
  <c r="AB206" i="1"/>
  <c r="AA206" i="1"/>
  <c r="Z206" i="1"/>
  <c r="X206" i="1"/>
  <c r="S206" i="1"/>
  <c r="U206" i="1"/>
  <c r="X46" i="1"/>
  <c r="V46" i="1"/>
  <c r="U46" i="1"/>
  <c r="T46" i="1"/>
  <c r="S46" i="1"/>
  <c r="AC46" i="1"/>
  <c r="AA46" i="1"/>
  <c r="AD46" i="1"/>
  <c r="AB46" i="1"/>
  <c r="S78" i="1"/>
  <c r="Y238" i="1"/>
  <c r="AD238" i="1"/>
  <c r="V238" i="1"/>
  <c r="AC238" i="1"/>
  <c r="AB238" i="1"/>
  <c r="AA238" i="1"/>
  <c r="Z238" i="1"/>
  <c r="W238" i="1"/>
  <c r="U238" i="1"/>
  <c r="T238" i="1"/>
  <c r="S238" i="1"/>
  <c r="Y142" i="1"/>
  <c r="AB142" i="1"/>
  <c r="Y22" i="1"/>
  <c r="Y38" i="1"/>
  <c r="AD62" i="1"/>
  <c r="S62" i="1"/>
  <c r="AC62" i="1"/>
  <c r="AB62" i="1"/>
  <c r="V62" i="1"/>
  <c r="T62" i="1"/>
  <c r="U62" i="1"/>
  <c r="Y86" i="1"/>
  <c r="X86" i="1"/>
  <c r="W86" i="1"/>
  <c r="AE86" i="1" s="1"/>
  <c r="AG87" i="1" s="1"/>
  <c r="AH87" i="1" s="1"/>
  <c r="U38" i="1"/>
  <c r="Z254" i="1"/>
  <c r="AC86" i="1"/>
  <c r="U30" i="1"/>
  <c r="U22" i="1"/>
  <c r="W14" i="1"/>
  <c r="AD14" i="1"/>
  <c r="V14" i="1"/>
  <c r="AC14" i="1"/>
  <c r="U14" i="1"/>
  <c r="S14" i="1"/>
  <c r="T14" i="1"/>
  <c r="Z14" i="1"/>
  <c r="AB14" i="1"/>
  <c r="Y14" i="1"/>
  <c r="AA14" i="1"/>
  <c r="CT6" i="1"/>
  <c r="CT7" i="1" s="1"/>
  <c r="CT9" i="1" s="1"/>
  <c r="CT8" i="1"/>
  <c r="AB78" i="1"/>
  <c r="Z142" i="1"/>
  <c r="U142" i="1"/>
  <c r="CU5" i="1"/>
  <c r="CU3" i="1"/>
  <c r="CV4" i="1"/>
  <c r="AA22" i="1"/>
  <c r="AC147" i="1" l="1"/>
  <c r="AD72" i="1"/>
  <c r="AD76" i="1"/>
  <c r="X96" i="1"/>
  <c r="X100" i="1"/>
  <c r="U60" i="1"/>
  <c r="U56" i="1"/>
  <c r="V132" i="1"/>
  <c r="V128" i="1"/>
  <c r="AB216" i="1"/>
  <c r="AB220" i="1"/>
  <c r="T139" i="1"/>
  <c r="Y124" i="1"/>
  <c r="Y120" i="1"/>
  <c r="Z180" i="1"/>
  <c r="Z176" i="1"/>
  <c r="AB227" i="1"/>
  <c r="AD112" i="1"/>
  <c r="AD116" i="1"/>
  <c r="AA136" i="1"/>
  <c r="AA140" i="1"/>
  <c r="AC43" i="1"/>
  <c r="S73" i="1"/>
  <c r="S75" i="1"/>
  <c r="T228" i="1"/>
  <c r="T224" i="1"/>
  <c r="X156" i="1"/>
  <c r="X152" i="1"/>
  <c r="AC123" i="1"/>
  <c r="AC122" i="1"/>
  <c r="AA227" i="1"/>
  <c r="AB192" i="1"/>
  <c r="AB196" i="1"/>
  <c r="AB123" i="1"/>
  <c r="AB122" i="1"/>
  <c r="AD227" i="1"/>
  <c r="S121" i="1"/>
  <c r="S123" i="1"/>
  <c r="T168" i="1"/>
  <c r="T172" i="1"/>
  <c r="W251" i="1"/>
  <c r="AA251" i="1"/>
  <c r="AB80" i="1"/>
  <c r="AB84" i="1"/>
  <c r="AE14" i="1"/>
  <c r="S20" i="1"/>
  <c r="S16" i="1"/>
  <c r="AC88" i="1"/>
  <c r="AC92" i="1"/>
  <c r="V64" i="1"/>
  <c r="V68" i="1"/>
  <c r="Y148" i="1"/>
  <c r="Y144" i="1"/>
  <c r="AC244" i="1"/>
  <c r="AC240" i="1"/>
  <c r="AC52" i="1"/>
  <c r="AC48" i="1"/>
  <c r="X212" i="1"/>
  <c r="X208" i="1"/>
  <c r="AB36" i="1"/>
  <c r="AB32" i="1"/>
  <c r="Z91" i="1"/>
  <c r="Z28" i="1"/>
  <c r="Z24" i="1"/>
  <c r="U259" i="1"/>
  <c r="U258" i="1"/>
  <c r="V164" i="1"/>
  <c r="V160" i="1"/>
  <c r="Z160" i="1"/>
  <c r="Z164" i="1"/>
  <c r="AA42" i="1"/>
  <c r="Y200" i="1"/>
  <c r="Y204" i="1"/>
  <c r="AD82" i="1"/>
  <c r="AC259" i="1"/>
  <c r="AD83" i="1"/>
  <c r="Z80" i="1"/>
  <c r="Z84" i="1"/>
  <c r="S257" i="1"/>
  <c r="S259" i="1"/>
  <c r="V35" i="1"/>
  <c r="AC83" i="1"/>
  <c r="S97" i="1"/>
  <c r="S99" i="1"/>
  <c r="S98" i="1"/>
  <c r="W250" i="1"/>
  <c r="X76" i="1"/>
  <c r="X72" i="1"/>
  <c r="X18" i="1"/>
  <c r="X19" i="1"/>
  <c r="Z96" i="1"/>
  <c r="Z100" i="1"/>
  <c r="AA56" i="1"/>
  <c r="AA60" i="1"/>
  <c r="T128" i="1"/>
  <c r="T132" i="1"/>
  <c r="AD104" i="1"/>
  <c r="AD108" i="1"/>
  <c r="AD132" i="1"/>
  <c r="AD128" i="1"/>
  <c r="U124" i="1"/>
  <c r="U120" i="1"/>
  <c r="AC180" i="1"/>
  <c r="AC176" i="1"/>
  <c r="AB116" i="1"/>
  <c r="AB112" i="1"/>
  <c r="Y136" i="1"/>
  <c r="Y140" i="1"/>
  <c r="Y132" i="1"/>
  <c r="Y128" i="1"/>
  <c r="AB187" i="1"/>
  <c r="AD152" i="1"/>
  <c r="AD156" i="1"/>
  <c r="X131" i="1"/>
  <c r="X187" i="1"/>
  <c r="X186" i="1"/>
  <c r="AD251" i="1"/>
  <c r="W196" i="1"/>
  <c r="W192" i="1"/>
  <c r="V179" i="1"/>
  <c r="Z58" i="1"/>
  <c r="AD172" i="1"/>
  <c r="AD168" i="1"/>
  <c r="AA235" i="1"/>
  <c r="AA179" i="1"/>
  <c r="AA178" i="1"/>
  <c r="Y59" i="1"/>
  <c r="V219" i="1"/>
  <c r="T235" i="1"/>
  <c r="U219" i="1"/>
  <c r="V96" i="1"/>
  <c r="V100" i="1"/>
  <c r="V60" i="1"/>
  <c r="V56" i="1"/>
  <c r="AB128" i="1"/>
  <c r="AB132" i="1"/>
  <c r="T187" i="1"/>
  <c r="AB108" i="1"/>
  <c r="AB104" i="1"/>
  <c r="AB180" i="1"/>
  <c r="AB176" i="1"/>
  <c r="U98" i="1"/>
  <c r="U99" i="1"/>
  <c r="AD147" i="1"/>
  <c r="AD146" i="1"/>
  <c r="W124" i="1"/>
  <c r="W120" i="1"/>
  <c r="S185" i="1"/>
  <c r="T185" i="1" s="1"/>
  <c r="S186" i="1"/>
  <c r="S187" i="1"/>
  <c r="Z112" i="1"/>
  <c r="Z116" i="1"/>
  <c r="AC136" i="1"/>
  <c r="AC140" i="1"/>
  <c r="AD99" i="1"/>
  <c r="AD211" i="1"/>
  <c r="AD210" i="1"/>
  <c r="T152" i="1"/>
  <c r="T156" i="1"/>
  <c r="Z248" i="1"/>
  <c r="Z252" i="1"/>
  <c r="Y196" i="1"/>
  <c r="Y192" i="1"/>
  <c r="X192" i="1"/>
  <c r="X196" i="1"/>
  <c r="AA195" i="1"/>
  <c r="V155" i="1"/>
  <c r="V154" i="1"/>
  <c r="X227" i="1"/>
  <c r="X226" i="1"/>
  <c r="Z123" i="1"/>
  <c r="W168" i="1"/>
  <c r="W172" i="1"/>
  <c r="U131" i="1"/>
  <c r="Y235" i="1"/>
  <c r="AB44" i="1"/>
  <c r="AB40" i="1"/>
  <c r="AA259" i="1"/>
  <c r="X67" i="1"/>
  <c r="W56" i="1"/>
  <c r="W60" i="1"/>
  <c r="AA108" i="1"/>
  <c r="AA104" i="1"/>
  <c r="Z67" i="1"/>
  <c r="T91" i="1"/>
  <c r="X124" i="1"/>
  <c r="X120" i="1"/>
  <c r="T116" i="1"/>
  <c r="T112" i="1"/>
  <c r="S136" i="1"/>
  <c r="S140" i="1"/>
  <c r="AE134" i="1"/>
  <c r="AG135" i="1" s="1"/>
  <c r="X203" i="1"/>
  <c r="W156" i="1"/>
  <c r="W152" i="1"/>
  <c r="Y211" i="1"/>
  <c r="AB252" i="1"/>
  <c r="AB248" i="1"/>
  <c r="T196" i="1"/>
  <c r="T192" i="1"/>
  <c r="AD196" i="1"/>
  <c r="AD192" i="1"/>
  <c r="U154" i="1"/>
  <c r="U155" i="1"/>
  <c r="T107" i="1"/>
  <c r="U179" i="1"/>
  <c r="X168" i="1"/>
  <c r="X172" i="1"/>
  <c r="X315" i="1" s="1"/>
  <c r="U251" i="1"/>
  <c r="C328" i="1"/>
  <c r="D327" i="1"/>
  <c r="Z136" i="1"/>
  <c r="Z140" i="1"/>
  <c r="T60" i="1"/>
  <c r="T56" i="1"/>
  <c r="V235" i="1"/>
  <c r="V234" i="1"/>
  <c r="U236" i="1"/>
  <c r="U232" i="1"/>
  <c r="Y67" i="1"/>
  <c r="W227" i="1"/>
  <c r="W226" i="1"/>
  <c r="U136" i="1"/>
  <c r="U140" i="1"/>
  <c r="AE150" i="1"/>
  <c r="AG151" i="1" s="1"/>
  <c r="AH151" i="1" s="1"/>
  <c r="S156" i="1"/>
  <c r="S152" i="1"/>
  <c r="V211" i="1"/>
  <c r="X248" i="1"/>
  <c r="X252" i="1"/>
  <c r="AB168" i="1"/>
  <c r="AB172" i="1"/>
  <c r="AD235" i="1"/>
  <c r="U36" i="1"/>
  <c r="U32" i="1"/>
  <c r="AB144" i="1"/>
  <c r="AB148" i="1"/>
  <c r="S208" i="1"/>
  <c r="S212" i="1"/>
  <c r="AE206" i="1"/>
  <c r="AG207" i="1" s="1"/>
  <c r="AH207" i="1" s="1"/>
  <c r="AA80" i="1"/>
  <c r="AA84" i="1"/>
  <c r="U160" i="1"/>
  <c r="U164" i="1"/>
  <c r="U200" i="1"/>
  <c r="U204" i="1"/>
  <c r="AA28" i="1"/>
  <c r="AA24" i="1"/>
  <c r="Z256" i="1"/>
  <c r="Z260" i="1"/>
  <c r="V244" i="1"/>
  <c r="V240" i="1"/>
  <c r="AD24" i="1"/>
  <c r="AD28" i="1"/>
  <c r="U84" i="1"/>
  <c r="U80" i="1"/>
  <c r="U44" i="1"/>
  <c r="U40" i="1"/>
  <c r="T240" i="1"/>
  <c r="T244" i="1"/>
  <c r="T48" i="1"/>
  <c r="T52" i="1"/>
  <c r="X148" i="1"/>
  <c r="X144" i="1"/>
  <c r="S160" i="1"/>
  <c r="S164" i="1"/>
  <c r="AE158" i="1"/>
  <c r="AG159" i="1" s="1"/>
  <c r="AH159" i="1" s="1"/>
  <c r="AC204" i="1"/>
  <c r="AC200" i="1"/>
  <c r="S74" i="1"/>
  <c r="T100" i="1"/>
  <c r="T96" i="1"/>
  <c r="AA20" i="1"/>
  <c r="AA16" i="1"/>
  <c r="W88" i="1"/>
  <c r="W92" i="1"/>
  <c r="S68" i="1"/>
  <c r="AE62" i="1"/>
  <c r="AG63" i="1" s="1"/>
  <c r="AH63" i="1" s="1"/>
  <c r="S64" i="1"/>
  <c r="U244" i="1"/>
  <c r="U240" i="1"/>
  <c r="Y240" i="1"/>
  <c r="Y244" i="1"/>
  <c r="U48" i="1"/>
  <c r="U52" i="1"/>
  <c r="AB212" i="1"/>
  <c r="AB208" i="1"/>
  <c r="Y184" i="1"/>
  <c r="Y188" i="1"/>
  <c r="T28" i="1"/>
  <c r="T24" i="1"/>
  <c r="X24" i="1"/>
  <c r="X28" i="1"/>
  <c r="W160" i="1"/>
  <c r="W164" i="1"/>
  <c r="Z36" i="1"/>
  <c r="Z32" i="1"/>
  <c r="V147" i="1"/>
  <c r="AD204" i="1"/>
  <c r="AD200" i="1"/>
  <c r="AD43" i="1"/>
  <c r="V40" i="1"/>
  <c r="V44" i="1"/>
  <c r="V146" i="1"/>
  <c r="AE110" i="1"/>
  <c r="S116" i="1"/>
  <c r="S112" i="1"/>
  <c r="V34" i="1"/>
  <c r="AC146" i="1"/>
  <c r="AA250" i="1"/>
  <c r="T186" i="1"/>
  <c r="AA258" i="1"/>
  <c r="X202" i="1"/>
  <c r="AB259" i="1"/>
  <c r="AB258" i="1"/>
  <c r="AB96" i="1"/>
  <c r="AB100" i="1"/>
  <c r="AB60" i="1"/>
  <c r="AB56" i="1"/>
  <c r="X56" i="1"/>
  <c r="X60" i="1"/>
  <c r="Y219" i="1"/>
  <c r="Z232" i="1"/>
  <c r="Z236" i="1"/>
  <c r="AE102" i="1"/>
  <c r="S108" i="1"/>
  <c r="S104" i="1"/>
  <c r="T72" i="1"/>
  <c r="T76" i="1"/>
  <c r="W107" i="1"/>
  <c r="AA128" i="1"/>
  <c r="AA132" i="1"/>
  <c r="AA120" i="1"/>
  <c r="AA124" i="1"/>
  <c r="W112" i="1"/>
  <c r="W116" i="1"/>
  <c r="U116" i="1"/>
  <c r="U112" i="1"/>
  <c r="AB140" i="1"/>
  <c r="AB136" i="1"/>
  <c r="X216" i="1"/>
  <c r="X220" i="1"/>
  <c r="X236" i="1"/>
  <c r="X232" i="1"/>
  <c r="AA156" i="1"/>
  <c r="AA152" i="1"/>
  <c r="Z227" i="1"/>
  <c r="Y227" i="1"/>
  <c r="Y226" i="1"/>
  <c r="T219" i="1"/>
  <c r="AE246" i="1"/>
  <c r="S252" i="1"/>
  <c r="S248" i="1"/>
  <c r="Z192" i="1"/>
  <c r="Z196" i="1"/>
  <c r="V227" i="1"/>
  <c r="Y172" i="1"/>
  <c r="Y168" i="1"/>
  <c r="AA172" i="1"/>
  <c r="AA168" i="1"/>
  <c r="AC131" i="1"/>
  <c r="S129" i="1"/>
  <c r="S131" i="1"/>
  <c r="AC171" i="1"/>
  <c r="AC170" i="1"/>
  <c r="S177" i="1"/>
  <c r="S179" i="1"/>
  <c r="AC75" i="1"/>
  <c r="X179" i="1"/>
  <c r="U144" i="1"/>
  <c r="U148" i="1"/>
  <c r="U28" i="1"/>
  <c r="U24" i="1"/>
  <c r="Y28" i="1"/>
  <c r="Y24" i="1"/>
  <c r="AD52" i="1"/>
  <c r="AD48" i="1"/>
  <c r="W212" i="1"/>
  <c r="W208" i="1"/>
  <c r="T43" i="1"/>
  <c r="X32" i="1"/>
  <c r="X36" i="1"/>
  <c r="V200" i="1"/>
  <c r="V204" i="1"/>
  <c r="AE38" i="1"/>
  <c r="V91" i="1"/>
  <c r="V90" i="1"/>
  <c r="Z44" i="1"/>
  <c r="Z40" i="1"/>
  <c r="T257" i="1"/>
  <c r="U257" i="1" s="1"/>
  <c r="V257" i="1" s="1"/>
  <c r="W257" i="1" s="1"/>
  <c r="X257" i="1" s="1"/>
  <c r="T259" i="1"/>
  <c r="V120" i="1"/>
  <c r="V124" i="1"/>
  <c r="AD176" i="1"/>
  <c r="AD180" i="1"/>
  <c r="W136" i="1"/>
  <c r="W140" i="1"/>
  <c r="V192" i="1"/>
  <c r="V196" i="1"/>
  <c r="AE190" i="1"/>
  <c r="AG191" i="1" s="1"/>
  <c r="AH191" i="1" s="1"/>
  <c r="AH174" i="1" s="1"/>
  <c r="Z219" i="1"/>
  <c r="Z148" i="1"/>
  <c r="Z144" i="1"/>
  <c r="T68" i="1"/>
  <c r="T64" i="1"/>
  <c r="AA52" i="1"/>
  <c r="AA48" i="1"/>
  <c r="AA148" i="1"/>
  <c r="AA144" i="1"/>
  <c r="AE30" i="1"/>
  <c r="S36" i="1"/>
  <c r="S32" i="1"/>
  <c r="Y84" i="1"/>
  <c r="Y80" i="1"/>
  <c r="AB64" i="1"/>
  <c r="AB68" i="1"/>
  <c r="AE46" i="1"/>
  <c r="AG47" i="1" s="1"/>
  <c r="S52" i="1"/>
  <c r="S48" i="1"/>
  <c r="Y36" i="1"/>
  <c r="Y32" i="1"/>
  <c r="AA160" i="1"/>
  <c r="AA164" i="1"/>
  <c r="AA204" i="1"/>
  <c r="AA200" i="1"/>
  <c r="AE254" i="1"/>
  <c r="V76" i="1"/>
  <c r="V72" i="1"/>
  <c r="CV5" i="1"/>
  <c r="CV3" i="1"/>
  <c r="CW4" i="1"/>
  <c r="AC20" i="1"/>
  <c r="AC16" i="1"/>
  <c r="AD244" i="1"/>
  <c r="AD240" i="1"/>
  <c r="AA208" i="1"/>
  <c r="AA212" i="1"/>
  <c r="AC160" i="1"/>
  <c r="AC164" i="1"/>
  <c r="W67" i="1"/>
  <c r="Y108" i="1"/>
  <c r="Y104" i="1"/>
  <c r="T83" i="1"/>
  <c r="AD259" i="1"/>
  <c r="CU6" i="1"/>
  <c r="CU7" i="1" s="1"/>
  <c r="CU9" i="1" s="1"/>
  <c r="CU8" i="1"/>
  <c r="AD20" i="1"/>
  <c r="AD16" i="1"/>
  <c r="W244" i="1"/>
  <c r="W240" i="1"/>
  <c r="AC208" i="1"/>
  <c r="AC212" i="1"/>
  <c r="Z188" i="1"/>
  <c r="Z184" i="1"/>
  <c r="AE22" i="1"/>
  <c r="S28" i="1"/>
  <c r="S24" i="1"/>
  <c r="Y164" i="1"/>
  <c r="Y160" i="1"/>
  <c r="W32" i="1"/>
  <c r="W36" i="1"/>
  <c r="T204" i="1"/>
  <c r="T200" i="1"/>
  <c r="W200" i="1"/>
  <c r="W204" i="1"/>
  <c r="S41" i="1"/>
  <c r="T41" i="1" s="1"/>
  <c r="S43" i="1"/>
  <c r="V24" i="1"/>
  <c r="V28" i="1"/>
  <c r="W40" i="1"/>
  <c r="W44" i="1"/>
  <c r="AC34" i="1"/>
  <c r="Z90" i="1"/>
  <c r="AB90" i="1"/>
  <c r="T147" i="1"/>
  <c r="T146" i="1"/>
  <c r="Y100" i="1"/>
  <c r="Y96" i="1"/>
  <c r="W27" i="1"/>
  <c r="W26" i="1"/>
  <c r="AC60" i="1"/>
  <c r="AC56" i="1"/>
  <c r="AD123" i="1"/>
  <c r="S217" i="1"/>
  <c r="T217" i="1" s="1"/>
  <c r="U217" i="1" s="1"/>
  <c r="V217" i="1" s="1"/>
  <c r="W217" i="1" s="1"/>
  <c r="S219" i="1"/>
  <c r="AB236" i="1"/>
  <c r="AB232" i="1"/>
  <c r="V108" i="1"/>
  <c r="V104" i="1"/>
  <c r="X83" i="1"/>
  <c r="X82" i="1"/>
  <c r="Y76" i="1"/>
  <c r="Y72" i="1"/>
  <c r="T180" i="1"/>
  <c r="T176" i="1"/>
  <c r="S232" i="1"/>
  <c r="AE230" i="1"/>
  <c r="AG231" i="1" s="1"/>
  <c r="AH231" i="1" s="1"/>
  <c r="S236" i="1"/>
  <c r="Y116" i="1"/>
  <c r="Y112" i="1"/>
  <c r="AC116" i="1"/>
  <c r="AC112" i="1"/>
  <c r="AD140" i="1"/>
  <c r="AD136" i="1"/>
  <c r="AA220" i="1"/>
  <c r="AA216" i="1"/>
  <c r="U224" i="1"/>
  <c r="U228" i="1"/>
  <c r="Z152" i="1"/>
  <c r="Z156" i="1"/>
  <c r="V168" i="1"/>
  <c r="V172" i="1"/>
  <c r="T248" i="1"/>
  <c r="T252" i="1"/>
  <c r="AC192" i="1"/>
  <c r="AC196" i="1"/>
  <c r="X243" i="1"/>
  <c r="AA187" i="1"/>
  <c r="AA75" i="1"/>
  <c r="Z172" i="1"/>
  <c r="Z168" i="1"/>
  <c r="T121" i="1"/>
  <c r="T123" i="1"/>
  <c r="AE126" i="1"/>
  <c r="AG127" i="1" s="1"/>
  <c r="Z131" i="1"/>
  <c r="V187" i="1"/>
  <c r="Z20" i="1"/>
  <c r="Z16" i="1"/>
  <c r="U68" i="1"/>
  <c r="U64" i="1"/>
  <c r="AA240" i="1"/>
  <c r="AA244" i="1"/>
  <c r="U208" i="1"/>
  <c r="U212" i="1"/>
  <c r="W184" i="1"/>
  <c r="W188" i="1"/>
  <c r="AD160" i="1"/>
  <c r="AD164" i="1"/>
  <c r="Z200" i="1"/>
  <c r="Z204" i="1"/>
  <c r="AA91" i="1"/>
  <c r="S148" i="1"/>
  <c r="AE142" i="1"/>
  <c r="AG143" i="1" s="1"/>
  <c r="AH143" i="1" s="1"/>
  <c r="S144" i="1"/>
  <c r="X112" i="1"/>
  <c r="X116" i="1"/>
  <c r="T42" i="1"/>
  <c r="W76" i="1"/>
  <c r="W72" i="1"/>
  <c r="W132" i="1"/>
  <c r="W128" i="1"/>
  <c r="U108" i="1"/>
  <c r="U104" i="1"/>
  <c r="AA99" i="1"/>
  <c r="AA112" i="1"/>
  <c r="AA116" i="1"/>
  <c r="S228" i="1"/>
  <c r="S224" i="1"/>
  <c r="AE222" i="1"/>
  <c r="AG223" i="1" s="1"/>
  <c r="AH223" i="1" s="1"/>
  <c r="Y179" i="1"/>
  <c r="Y251" i="1"/>
  <c r="V251" i="1"/>
  <c r="U171" i="1"/>
  <c r="T20" i="1"/>
  <c r="T16" i="1"/>
  <c r="AB240" i="1"/>
  <c r="AB244" i="1"/>
  <c r="AB28" i="1"/>
  <c r="AB24" i="1"/>
  <c r="S89" i="1"/>
  <c r="T89" i="1" s="1"/>
  <c r="U89" i="1" s="1"/>
  <c r="V89" i="1" s="1"/>
  <c r="S90" i="1"/>
  <c r="S91" i="1"/>
  <c r="AF316" i="1"/>
  <c r="AE269" i="1"/>
  <c r="U20" i="1"/>
  <c r="U16" i="1"/>
  <c r="S240" i="1"/>
  <c r="S244" i="1"/>
  <c r="AE238" i="1"/>
  <c r="Z212" i="1"/>
  <c r="Z208" i="1"/>
  <c r="V83" i="1"/>
  <c r="V82" i="1"/>
  <c r="T164" i="1"/>
  <c r="T160" i="1"/>
  <c r="AC68" i="1"/>
  <c r="AC64" i="1"/>
  <c r="X259" i="1"/>
  <c r="V259" i="1"/>
  <c r="AD234" i="1"/>
  <c r="U72" i="1"/>
  <c r="U76" i="1"/>
  <c r="AD60" i="1"/>
  <c r="AD56" i="1"/>
  <c r="V20" i="1"/>
  <c r="V16" i="1"/>
  <c r="Y16" i="1"/>
  <c r="Y20" i="1"/>
  <c r="X92" i="1"/>
  <c r="X88" i="1"/>
  <c r="AD64" i="1"/>
  <c r="AD68" i="1"/>
  <c r="S80" i="1"/>
  <c r="AE78" i="1"/>
  <c r="AG79" i="1" s="1"/>
  <c r="AH79" i="1" s="1"/>
  <c r="S84" i="1"/>
  <c r="V48" i="1"/>
  <c r="V52" i="1"/>
  <c r="T36" i="1"/>
  <c r="T32" i="1"/>
  <c r="AB20" i="1"/>
  <c r="AB16" i="1"/>
  <c r="W16" i="1"/>
  <c r="W20" i="1"/>
  <c r="Y92" i="1"/>
  <c r="Y88" i="1"/>
  <c r="Y40" i="1"/>
  <c r="Y44" i="1"/>
  <c r="Z240" i="1"/>
  <c r="Z244" i="1"/>
  <c r="AB48" i="1"/>
  <c r="AB52" i="1"/>
  <c r="X48" i="1"/>
  <c r="X52" i="1"/>
  <c r="T208" i="1"/>
  <c r="T212" i="1"/>
  <c r="Y256" i="1"/>
  <c r="Y260" i="1"/>
  <c r="U184" i="1"/>
  <c r="U188" i="1"/>
  <c r="AB164" i="1"/>
  <c r="AB160" i="1"/>
  <c r="W83" i="1"/>
  <c r="W259" i="1"/>
  <c r="AE198" i="1"/>
  <c r="AG199" i="1" s="1"/>
  <c r="AH199" i="1" s="1"/>
  <c r="S204" i="1"/>
  <c r="S200" i="1"/>
  <c r="AB204" i="1"/>
  <c r="AB200" i="1"/>
  <c r="W148" i="1"/>
  <c r="W144" i="1"/>
  <c r="AD32" i="1"/>
  <c r="AD36" i="1"/>
  <c r="X40" i="1"/>
  <c r="X44" i="1"/>
  <c r="W51" i="1"/>
  <c r="Z72" i="1"/>
  <c r="Z76" i="1"/>
  <c r="AD98" i="1"/>
  <c r="T82" i="1"/>
  <c r="V258" i="1"/>
  <c r="AA194" i="1"/>
  <c r="AC42" i="1"/>
  <c r="AB72" i="1"/>
  <c r="AB76" i="1"/>
  <c r="W100" i="1"/>
  <c r="W96" i="1"/>
  <c r="S60" i="1"/>
  <c r="AE54" i="1"/>
  <c r="AG55" i="1" s="1"/>
  <c r="AH55" i="1" s="1"/>
  <c r="S56" i="1"/>
  <c r="AC236" i="1"/>
  <c r="AC232" i="1"/>
  <c r="X104" i="1"/>
  <c r="X108" i="1"/>
  <c r="AB226" i="1"/>
  <c r="AC187" i="1"/>
  <c r="U91" i="1"/>
  <c r="U90" i="1"/>
  <c r="W176" i="1"/>
  <c r="W180" i="1"/>
  <c r="V116" i="1"/>
  <c r="V112" i="1"/>
  <c r="V140" i="1"/>
  <c r="V136" i="1"/>
  <c r="X140" i="1"/>
  <c r="X136" i="1"/>
  <c r="AE70" i="1"/>
  <c r="AG71" i="1" s="1"/>
  <c r="AH71" i="1" s="1"/>
  <c r="AC224" i="1"/>
  <c r="AC228" i="1"/>
  <c r="AB156" i="1"/>
  <c r="AB152" i="1"/>
  <c r="AD219" i="1"/>
  <c r="W235" i="1"/>
  <c r="AC252" i="1"/>
  <c r="AC248" i="1"/>
  <c r="U192" i="1"/>
  <c r="U196" i="1"/>
  <c r="AA66" i="1"/>
  <c r="AA67" i="1"/>
  <c r="AC219" i="1"/>
  <c r="X163" i="1"/>
  <c r="Z107" i="1"/>
  <c r="S193" i="1"/>
  <c r="S195" i="1"/>
  <c r="S194" i="1"/>
  <c r="AE166" i="1"/>
  <c r="AG167" i="1" s="1"/>
  <c r="AH167" i="1" s="1"/>
  <c r="S172" i="1"/>
  <c r="S168" i="1"/>
  <c r="Y156" i="1"/>
  <c r="Y152" i="1"/>
  <c r="W219" i="1"/>
  <c r="AD187" i="1"/>
  <c r="AD186" i="1"/>
  <c r="AC155" i="1"/>
  <c r="AA163" i="1" l="1"/>
  <c r="AA162" i="1"/>
  <c r="W163" i="1"/>
  <c r="W162" i="1"/>
  <c r="AB34" i="1"/>
  <c r="AB35" i="1"/>
  <c r="Y147" i="1"/>
  <c r="Y146" i="1"/>
  <c r="AA219" i="1"/>
  <c r="AA218" i="1"/>
  <c r="Y99" i="1"/>
  <c r="Y98" i="1"/>
  <c r="W243" i="1"/>
  <c r="W242" i="1"/>
  <c r="Y35" i="1"/>
  <c r="Y34" i="1"/>
  <c r="T67" i="1"/>
  <c r="T66" i="1"/>
  <c r="V195" i="1"/>
  <c r="V194" i="1"/>
  <c r="V203" i="1"/>
  <c r="V202" i="1"/>
  <c r="X235" i="1"/>
  <c r="X234" i="1"/>
  <c r="S113" i="1"/>
  <c r="T113" i="1" s="1"/>
  <c r="U113" i="1" s="1"/>
  <c r="V113" i="1" s="1"/>
  <c r="W113" i="1" s="1"/>
  <c r="X113" i="1" s="1"/>
  <c r="Y113" i="1" s="1"/>
  <c r="Z113" i="1" s="1"/>
  <c r="AA113" i="1" s="1"/>
  <c r="AB113" i="1" s="1"/>
  <c r="AC113" i="1" s="1"/>
  <c r="AD113" i="1" s="1"/>
  <c r="S115" i="1"/>
  <c r="S114" i="1"/>
  <c r="AD203" i="1"/>
  <c r="AD202" i="1"/>
  <c r="S161" i="1"/>
  <c r="T161" i="1" s="1"/>
  <c r="U161" i="1" s="1"/>
  <c r="V161" i="1" s="1"/>
  <c r="W161" i="1" s="1"/>
  <c r="X161" i="1" s="1"/>
  <c r="Y161" i="1" s="1"/>
  <c r="Z161" i="1" s="1"/>
  <c r="AA161" i="1" s="1"/>
  <c r="AB161" i="1" s="1"/>
  <c r="AC161" i="1" s="1"/>
  <c r="AD161" i="1" s="1"/>
  <c r="S163" i="1"/>
  <c r="S162" i="1"/>
  <c r="Z259" i="1"/>
  <c r="Z258" i="1"/>
  <c r="AA83" i="1"/>
  <c r="AA82" i="1"/>
  <c r="S153" i="1"/>
  <c r="S155" i="1"/>
  <c r="S154" i="1"/>
  <c r="X171" i="1"/>
  <c r="X170" i="1"/>
  <c r="AD195" i="1"/>
  <c r="AD194" i="1"/>
  <c r="W155" i="1"/>
  <c r="W154" i="1"/>
  <c r="AA106" i="1"/>
  <c r="AA107" i="1"/>
  <c r="AB43" i="1"/>
  <c r="AB42" i="1"/>
  <c r="AC138" i="1"/>
  <c r="AC139" i="1"/>
  <c r="AB106" i="1"/>
  <c r="AB107" i="1"/>
  <c r="AD171" i="1"/>
  <c r="AD170" i="1"/>
  <c r="AD155" i="1"/>
  <c r="AD154" i="1"/>
  <c r="AD107" i="1"/>
  <c r="AD106" i="1"/>
  <c r="S17" i="1"/>
  <c r="S19" i="1"/>
  <c r="S18" i="1"/>
  <c r="Z179" i="1"/>
  <c r="Z178" i="1"/>
  <c r="V131" i="1"/>
  <c r="V130" i="1"/>
  <c r="W19" i="1"/>
  <c r="W18" i="1"/>
  <c r="AC195" i="1"/>
  <c r="AC194" i="1"/>
  <c r="U227" i="1"/>
  <c r="U226" i="1"/>
  <c r="AA315" i="1"/>
  <c r="U41" i="1"/>
  <c r="U43" i="1"/>
  <c r="U42" i="1"/>
  <c r="T59" i="1"/>
  <c r="T58" i="1"/>
  <c r="T115" i="1"/>
  <c r="T114" i="1"/>
  <c r="W171" i="1"/>
  <c r="W170" i="1"/>
  <c r="Z251" i="1"/>
  <c r="Z250" i="1"/>
  <c r="AB115" i="1"/>
  <c r="AB114" i="1"/>
  <c r="X91" i="1"/>
  <c r="X90" i="1"/>
  <c r="U75" i="1"/>
  <c r="U74" i="1"/>
  <c r="S145" i="1"/>
  <c r="T145" i="1" s="1"/>
  <c r="U145" i="1" s="1"/>
  <c r="V145" i="1" s="1"/>
  <c r="W145" i="1" s="1"/>
  <c r="X145" i="1" s="1"/>
  <c r="Y145" i="1" s="1"/>
  <c r="Z145" i="1" s="1"/>
  <c r="AA145" i="1" s="1"/>
  <c r="AB145" i="1" s="1"/>
  <c r="AC145" i="1" s="1"/>
  <c r="AD145" i="1" s="1"/>
  <c r="S147" i="1"/>
  <c r="S146" i="1"/>
  <c r="AD163" i="1"/>
  <c r="AD162" i="1"/>
  <c r="Y154" i="1"/>
  <c r="Y155" i="1"/>
  <c r="AB163" i="1"/>
  <c r="AB162" i="1"/>
  <c r="Y90" i="1"/>
  <c r="Y91" i="1"/>
  <c r="T163" i="1"/>
  <c r="T162" i="1"/>
  <c r="AB243" i="1"/>
  <c r="AB242" i="1"/>
  <c r="S225" i="1"/>
  <c r="S227" i="1"/>
  <c r="S226" i="1"/>
  <c r="W131" i="1"/>
  <c r="W130" i="1"/>
  <c r="T251" i="1"/>
  <c r="T250" i="1"/>
  <c r="S25" i="1"/>
  <c r="S27" i="1"/>
  <c r="S26" i="1"/>
  <c r="S282" i="1" s="1" a="1"/>
  <c r="S282" i="1" s="1"/>
  <c r="V75" i="1"/>
  <c r="V74" i="1"/>
  <c r="S33" i="1"/>
  <c r="S35" i="1"/>
  <c r="S34" i="1"/>
  <c r="Z43" i="1"/>
  <c r="Z42" i="1"/>
  <c r="Y27" i="1"/>
  <c r="Y26" i="1"/>
  <c r="W115" i="1"/>
  <c r="W114" i="1"/>
  <c r="T73" i="1"/>
  <c r="U73" i="1" s="1"/>
  <c r="V73" i="1" s="1"/>
  <c r="W73" i="1" s="1"/>
  <c r="X73" i="1" s="1"/>
  <c r="Y73" i="1" s="1"/>
  <c r="Z73" i="1" s="1"/>
  <c r="AA73" i="1" s="1"/>
  <c r="AB73" i="1" s="1"/>
  <c r="AC73" i="1" s="1"/>
  <c r="AD73" i="1" s="1"/>
  <c r="T75" i="1"/>
  <c r="T74" i="1"/>
  <c r="X27" i="1"/>
  <c r="X313" i="1" s="1"/>
  <c r="X26" i="1"/>
  <c r="U51" i="1"/>
  <c r="U50" i="1"/>
  <c r="T97" i="1"/>
  <c r="U97" i="1" s="1"/>
  <c r="V97" i="1" s="1"/>
  <c r="W97" i="1" s="1"/>
  <c r="X97" i="1" s="1"/>
  <c r="Y97" i="1" s="1"/>
  <c r="Z97" i="1" s="1"/>
  <c r="AA97" i="1" s="1"/>
  <c r="AB97" i="1" s="1"/>
  <c r="AC97" i="1" s="1"/>
  <c r="AD97" i="1" s="1"/>
  <c r="T99" i="1"/>
  <c r="T98" i="1"/>
  <c r="X147" i="1"/>
  <c r="X146" i="1"/>
  <c r="U81" i="1"/>
  <c r="V81" i="1" s="1"/>
  <c r="W81" i="1" s="1"/>
  <c r="X81" i="1" s="1"/>
  <c r="U83" i="1"/>
  <c r="U82" i="1"/>
  <c r="AA27" i="1"/>
  <c r="AA26" i="1"/>
  <c r="AH206" i="1"/>
  <c r="X123" i="1"/>
  <c r="X122" i="1"/>
  <c r="T153" i="1"/>
  <c r="U153" i="1" s="1"/>
  <c r="V153" i="1" s="1"/>
  <c r="W153" i="1" s="1"/>
  <c r="X153" i="1" s="1"/>
  <c r="Y153" i="1" s="1"/>
  <c r="Z153" i="1" s="1"/>
  <c r="AA153" i="1" s="1"/>
  <c r="AB153" i="1" s="1"/>
  <c r="AC153" i="1" s="1"/>
  <c r="AD153" i="1" s="1"/>
  <c r="T155" i="1"/>
  <c r="T154" i="1"/>
  <c r="V99" i="1"/>
  <c r="V98" i="1"/>
  <c r="AC179" i="1"/>
  <c r="AC178" i="1"/>
  <c r="Y203" i="1"/>
  <c r="Y202" i="1"/>
  <c r="X211" i="1"/>
  <c r="X210" i="1"/>
  <c r="S315" i="1"/>
  <c r="AD74" i="1"/>
  <c r="AD75" i="1"/>
  <c r="AB219" i="1"/>
  <c r="AB218" i="1"/>
  <c r="X139" i="1"/>
  <c r="X138" i="1"/>
  <c r="AC235" i="1"/>
  <c r="AC234" i="1"/>
  <c r="AB75" i="1"/>
  <c r="AB74" i="1"/>
  <c r="AB203" i="1"/>
  <c r="AB202" i="1"/>
  <c r="T210" i="1"/>
  <c r="T211" i="1"/>
  <c r="Y42" i="1"/>
  <c r="Y43" i="1"/>
  <c r="AB155" i="1"/>
  <c r="AB154" i="1"/>
  <c r="V139" i="1"/>
  <c r="V138" i="1"/>
  <c r="S57" i="1"/>
  <c r="T57" i="1" s="1"/>
  <c r="U57" i="1" s="1"/>
  <c r="V57" i="1" s="1"/>
  <c r="W57" i="1" s="1"/>
  <c r="X57" i="1" s="1"/>
  <c r="Y57" i="1" s="1"/>
  <c r="Z57" i="1" s="1"/>
  <c r="AA57" i="1" s="1"/>
  <c r="AB57" i="1" s="1"/>
  <c r="AC57" i="1" s="1"/>
  <c r="AD57" i="1" s="1"/>
  <c r="S59" i="1"/>
  <c r="S58" i="1"/>
  <c r="S201" i="1"/>
  <c r="S203" i="1"/>
  <c r="S202" i="1"/>
  <c r="X51" i="1"/>
  <c r="X50" i="1"/>
  <c r="V51" i="1"/>
  <c r="V50" i="1"/>
  <c r="V19" i="1"/>
  <c r="V18" i="1"/>
  <c r="S241" i="1"/>
  <c r="S243" i="1"/>
  <c r="S242" i="1"/>
  <c r="W187" i="1"/>
  <c r="W186" i="1"/>
  <c r="AD139" i="1"/>
  <c r="AD138" i="1"/>
  <c r="S233" i="1"/>
  <c r="T233" i="1" s="1"/>
  <c r="U233" i="1" s="1"/>
  <c r="V233" i="1" s="1"/>
  <c r="W233" i="1" s="1"/>
  <c r="X233" i="1" s="1"/>
  <c r="Y233" i="1" s="1"/>
  <c r="Z233" i="1" s="1"/>
  <c r="AA233" i="1" s="1"/>
  <c r="AB233" i="1" s="1"/>
  <c r="AC233" i="1" s="1"/>
  <c r="AD233" i="1" s="1"/>
  <c r="S235" i="1"/>
  <c r="S234" i="1"/>
  <c r="W203" i="1"/>
  <c r="W202" i="1"/>
  <c r="AC163" i="1"/>
  <c r="AC162" i="1"/>
  <c r="AC18" i="1"/>
  <c r="AC19" i="1"/>
  <c r="S49" i="1"/>
  <c r="S288" i="1" s="1" a="1"/>
  <c r="S288" i="1" s="1"/>
  <c r="S51" i="1"/>
  <c r="S50" i="1"/>
  <c r="Z147" i="1"/>
  <c r="Z146" i="1"/>
  <c r="W139" i="1"/>
  <c r="W138" i="1"/>
  <c r="X35" i="1"/>
  <c r="X34" i="1"/>
  <c r="S105" i="1"/>
  <c r="T105" i="1" s="1"/>
  <c r="S107" i="1"/>
  <c r="S106" i="1"/>
  <c r="X59" i="1"/>
  <c r="X58" i="1"/>
  <c r="T25" i="1"/>
  <c r="T27" i="1"/>
  <c r="T26" i="1"/>
  <c r="W89" i="1"/>
  <c r="X89" i="1" s="1"/>
  <c r="Y89" i="1" s="1"/>
  <c r="Z89" i="1" s="1"/>
  <c r="AA89" i="1" s="1"/>
  <c r="AB89" i="1" s="1"/>
  <c r="AC89" i="1" s="1"/>
  <c r="AD89" i="1" s="1"/>
  <c r="W91" i="1"/>
  <c r="W90" i="1"/>
  <c r="AH150" i="1"/>
  <c r="U235" i="1"/>
  <c r="U234" i="1"/>
  <c r="Z139" i="1"/>
  <c r="Z138" i="1"/>
  <c r="T193" i="1"/>
  <c r="T195" i="1"/>
  <c r="T194" i="1"/>
  <c r="Z115" i="1"/>
  <c r="Z114" i="1"/>
  <c r="T129" i="1"/>
  <c r="U129" i="1" s="1"/>
  <c r="V129" i="1" s="1"/>
  <c r="W129" i="1" s="1"/>
  <c r="X129" i="1" s="1"/>
  <c r="Y129" i="1" s="1"/>
  <c r="Z129" i="1" s="1"/>
  <c r="AA129" i="1" s="1"/>
  <c r="AB129" i="1" s="1"/>
  <c r="AC129" i="1" s="1"/>
  <c r="AD129" i="1" s="1"/>
  <c r="T131" i="1"/>
  <c r="T130" i="1"/>
  <c r="Z83" i="1"/>
  <c r="Z82" i="1"/>
  <c r="V67" i="1"/>
  <c r="V66" i="1"/>
  <c r="X155" i="1"/>
  <c r="X154" i="1"/>
  <c r="Y123" i="1"/>
  <c r="Y122" i="1"/>
  <c r="U59" i="1"/>
  <c r="U58" i="1"/>
  <c r="X107" i="1"/>
  <c r="X106" i="1"/>
  <c r="Z74" i="1"/>
  <c r="Z75" i="1"/>
  <c r="X115" i="1"/>
  <c r="X114" i="1"/>
  <c r="Y163" i="1"/>
  <c r="Y162" i="1"/>
  <c r="V315" i="1"/>
  <c r="W75" i="1"/>
  <c r="W74" i="1"/>
  <c r="V171" i="1"/>
  <c r="V170" i="1"/>
  <c r="T177" i="1"/>
  <c r="U177" i="1" s="1"/>
  <c r="V177" i="1" s="1"/>
  <c r="T179" i="1"/>
  <c r="T178" i="1"/>
  <c r="V107" i="1"/>
  <c r="V106" i="1"/>
  <c r="AC58" i="1"/>
  <c r="AC59" i="1"/>
  <c r="W43" i="1"/>
  <c r="W42" i="1"/>
  <c r="T201" i="1"/>
  <c r="U201" i="1" s="1"/>
  <c r="V201" i="1" s="1"/>
  <c r="W201" i="1" s="1"/>
  <c r="X201" i="1" s="1"/>
  <c r="Y201" i="1" s="1"/>
  <c r="Z201" i="1" s="1"/>
  <c r="AA201" i="1" s="1"/>
  <c r="AB201" i="1" s="1"/>
  <c r="AC201" i="1" s="1"/>
  <c r="AD201" i="1" s="1"/>
  <c r="T203" i="1"/>
  <c r="T202" i="1"/>
  <c r="AC315" i="1"/>
  <c r="U25" i="1"/>
  <c r="V25" i="1" s="1"/>
  <c r="W25" i="1" s="1"/>
  <c r="X25" i="1" s="1"/>
  <c r="Y25" i="1" s="1"/>
  <c r="Z25" i="1" s="1"/>
  <c r="AA25" i="1" s="1"/>
  <c r="AB25" i="1" s="1"/>
  <c r="AC25" i="1" s="1"/>
  <c r="AD25" i="1" s="1"/>
  <c r="U27" i="1"/>
  <c r="U26" i="1"/>
  <c r="Z195" i="1"/>
  <c r="Z194" i="1"/>
  <c r="X217" i="1"/>
  <c r="Y217" i="1" s="1"/>
  <c r="Z217" i="1" s="1"/>
  <c r="AA217" i="1" s="1"/>
  <c r="AB217" i="1" s="1"/>
  <c r="AC217" i="1" s="1"/>
  <c r="AD217" i="1" s="1"/>
  <c r="X219" i="1"/>
  <c r="X218" i="1"/>
  <c r="X311" i="1" s="1"/>
  <c r="AA123" i="1"/>
  <c r="AA122" i="1"/>
  <c r="AB58" i="1"/>
  <c r="AB59" i="1"/>
  <c r="Y243" i="1"/>
  <c r="Y242" i="1"/>
  <c r="S209" i="1"/>
  <c r="T209" i="1" s="1"/>
  <c r="U209" i="1" s="1"/>
  <c r="V209" i="1" s="1"/>
  <c r="W209" i="1" s="1"/>
  <c r="X209" i="1" s="1"/>
  <c r="Y209" i="1" s="1"/>
  <c r="Z209" i="1" s="1"/>
  <c r="AA209" i="1" s="1"/>
  <c r="AB209" i="1" s="1"/>
  <c r="AC209" i="1" s="1"/>
  <c r="AD209" i="1" s="1"/>
  <c r="S211" i="1"/>
  <c r="S210" i="1"/>
  <c r="AB171" i="1"/>
  <c r="AB170" i="1"/>
  <c r="W59" i="1"/>
  <c r="W58" i="1"/>
  <c r="X195" i="1"/>
  <c r="X194" i="1"/>
  <c r="Y131" i="1"/>
  <c r="Y130" i="1"/>
  <c r="U121" i="1"/>
  <c r="V121" i="1" s="1"/>
  <c r="W121" i="1" s="1"/>
  <c r="X121" i="1" s="1"/>
  <c r="Y121" i="1" s="1"/>
  <c r="Z121" i="1" s="1"/>
  <c r="AA121" i="1" s="1"/>
  <c r="AB121" i="1" s="1"/>
  <c r="AC121" i="1" s="1"/>
  <c r="AD121" i="1" s="1"/>
  <c r="U123" i="1"/>
  <c r="U122" i="1"/>
  <c r="Z27" i="1"/>
  <c r="Z26" i="1"/>
  <c r="AC51" i="1"/>
  <c r="AC50" i="1"/>
  <c r="T171" i="1"/>
  <c r="T170" i="1"/>
  <c r="AA139" i="1"/>
  <c r="AA138" i="1"/>
  <c r="W177" i="1"/>
  <c r="X177" i="1" s="1"/>
  <c r="Y177" i="1" s="1"/>
  <c r="Z177" i="1" s="1"/>
  <c r="AA177" i="1" s="1"/>
  <c r="AB177" i="1" s="1"/>
  <c r="AC177" i="1" s="1"/>
  <c r="AD177" i="1" s="1"/>
  <c r="W179" i="1"/>
  <c r="W178" i="1"/>
  <c r="U315" i="1"/>
  <c r="U67" i="1"/>
  <c r="U66" i="1"/>
  <c r="AA115" i="1"/>
  <c r="AA114" i="1"/>
  <c r="U211" i="1"/>
  <c r="U210" i="1"/>
  <c r="Z19" i="1"/>
  <c r="Z313" i="1" s="1"/>
  <c r="Z18" i="1"/>
  <c r="AC115" i="1"/>
  <c r="AC114" i="1"/>
  <c r="Z186" i="1"/>
  <c r="Z187" i="1"/>
  <c r="AD18" i="1"/>
  <c r="AD19" i="1"/>
  <c r="AA210" i="1"/>
  <c r="AA211" i="1"/>
  <c r="AA203" i="1"/>
  <c r="AA202" i="1"/>
  <c r="AG46" i="1"/>
  <c r="AH47" i="1"/>
  <c r="AA146" i="1"/>
  <c r="AA147" i="1"/>
  <c r="AD178" i="1"/>
  <c r="AD179" i="1"/>
  <c r="AA170" i="1"/>
  <c r="AA171" i="1"/>
  <c r="S249" i="1"/>
  <c r="T249" i="1" s="1"/>
  <c r="U249" i="1" s="1"/>
  <c r="V249" i="1" s="1"/>
  <c r="W249" i="1" s="1"/>
  <c r="X249" i="1" s="1"/>
  <c r="Y249" i="1" s="1"/>
  <c r="Z249" i="1" s="1"/>
  <c r="AA249" i="1" s="1"/>
  <c r="AB249" i="1" s="1"/>
  <c r="AC249" i="1" s="1"/>
  <c r="AD249" i="1" s="1"/>
  <c r="S251" i="1"/>
  <c r="S250" i="1"/>
  <c r="AB139" i="1"/>
  <c r="AB138" i="1"/>
  <c r="Z35" i="1"/>
  <c r="Z34" i="1"/>
  <c r="U243" i="1"/>
  <c r="U242" i="1"/>
  <c r="AC203" i="1"/>
  <c r="AC202" i="1"/>
  <c r="T51" i="1"/>
  <c r="T50" i="1"/>
  <c r="AD26" i="1"/>
  <c r="AD27" i="1"/>
  <c r="U203" i="1"/>
  <c r="U202" i="1"/>
  <c r="U139" i="1"/>
  <c r="U138" i="1"/>
  <c r="C329" i="1"/>
  <c r="D328" i="1"/>
  <c r="AB251" i="1"/>
  <c r="AB250" i="1"/>
  <c r="Y195" i="1"/>
  <c r="Y194" i="1"/>
  <c r="AA59" i="1"/>
  <c r="AA58" i="1"/>
  <c r="AC91" i="1"/>
  <c r="AC90" i="1"/>
  <c r="AB195" i="1"/>
  <c r="AB194" i="1"/>
  <c r="T225" i="1"/>
  <c r="U225" i="1" s="1"/>
  <c r="V225" i="1" s="1"/>
  <c r="W225" i="1" s="1"/>
  <c r="X225" i="1" s="1"/>
  <c r="Y225" i="1" s="1"/>
  <c r="Z225" i="1" s="1"/>
  <c r="AA225" i="1" s="1"/>
  <c r="AB225" i="1" s="1"/>
  <c r="AC225" i="1" s="1"/>
  <c r="AD225" i="1" s="1"/>
  <c r="T227" i="1"/>
  <c r="T226" i="1"/>
  <c r="AG118" i="1"/>
  <c r="T33" i="1"/>
  <c r="T35" i="1"/>
  <c r="T34" i="1"/>
  <c r="AD66" i="1"/>
  <c r="AD67" i="1"/>
  <c r="U105" i="1"/>
  <c r="V105" i="1" s="1"/>
  <c r="W105" i="1" s="1"/>
  <c r="X105" i="1" s="1"/>
  <c r="Y105" i="1" s="1"/>
  <c r="Z105" i="1" s="1"/>
  <c r="AA105" i="1" s="1"/>
  <c r="AB105" i="1" s="1"/>
  <c r="AC105" i="1" s="1"/>
  <c r="AD105" i="1" s="1"/>
  <c r="U107" i="1"/>
  <c r="U106" i="1"/>
  <c r="AC211" i="1"/>
  <c r="AC210" i="1"/>
  <c r="U185" i="1"/>
  <c r="V185" i="1" s="1"/>
  <c r="W185" i="1" s="1"/>
  <c r="X185" i="1" s="1"/>
  <c r="Y185" i="1" s="1"/>
  <c r="Z185" i="1" s="1"/>
  <c r="AA185" i="1" s="1"/>
  <c r="AB185" i="1" s="1"/>
  <c r="AC185" i="1" s="1"/>
  <c r="AD185" i="1" s="1"/>
  <c r="U187" i="1"/>
  <c r="U186" i="1"/>
  <c r="AB18" i="1"/>
  <c r="AB19" i="1"/>
  <c r="AD59" i="1"/>
  <c r="AD58" i="1"/>
  <c r="T17" i="1"/>
  <c r="T19" i="1"/>
  <c r="T18" i="1"/>
  <c r="Z315" i="1"/>
  <c r="Z155" i="1"/>
  <c r="Z154" i="1"/>
  <c r="Y75" i="1"/>
  <c r="Y74" i="1"/>
  <c r="AB235" i="1"/>
  <c r="AB234" i="1"/>
  <c r="V27" i="1"/>
  <c r="V26" i="1"/>
  <c r="AD315" i="1"/>
  <c r="Y107" i="1"/>
  <c r="Y106" i="1"/>
  <c r="AD243" i="1"/>
  <c r="AD242" i="1"/>
  <c r="CW3" i="1"/>
  <c r="CW5" i="1"/>
  <c r="CX4" i="1"/>
  <c r="W211" i="1"/>
  <c r="W210" i="1"/>
  <c r="AA131" i="1"/>
  <c r="AA130" i="1"/>
  <c r="V41" i="1"/>
  <c r="W41" i="1" s="1"/>
  <c r="X41" i="1" s="1"/>
  <c r="Y41" i="1" s="1"/>
  <c r="Z41" i="1" s="1"/>
  <c r="AA41" i="1" s="1"/>
  <c r="AB41" i="1" s="1"/>
  <c r="AC41" i="1" s="1"/>
  <c r="AD41" i="1" s="1"/>
  <c r="V43" i="1"/>
  <c r="V42" i="1"/>
  <c r="Y187" i="1"/>
  <c r="Y186" i="1"/>
  <c r="V243" i="1"/>
  <c r="V242" i="1"/>
  <c r="AB147" i="1"/>
  <c r="AB146" i="1"/>
  <c r="X251" i="1"/>
  <c r="X250" i="1"/>
  <c r="AB131" i="1"/>
  <c r="AB130" i="1"/>
  <c r="AD131" i="1"/>
  <c r="AD130" i="1"/>
  <c r="X75" i="1"/>
  <c r="X74" i="1"/>
  <c r="Z163" i="1"/>
  <c r="Z162" i="1"/>
  <c r="AC243" i="1"/>
  <c r="AC242" i="1"/>
  <c r="AB83" i="1"/>
  <c r="AB82" i="1"/>
  <c r="AD115" i="1"/>
  <c r="AD114" i="1"/>
  <c r="CV6" i="1"/>
  <c r="CV7" i="1" s="1"/>
  <c r="CV9" i="1" s="1"/>
  <c r="CV8" i="1" s="1"/>
  <c r="Y81" i="1"/>
  <c r="Z81" i="1" s="1"/>
  <c r="AA81" i="1" s="1"/>
  <c r="AB81" i="1" s="1"/>
  <c r="AC81" i="1" s="1"/>
  <c r="AD81" i="1" s="1"/>
  <c r="Y83" i="1"/>
  <c r="Y82" i="1"/>
  <c r="AD51" i="1"/>
  <c r="AD50" i="1"/>
  <c r="S169" i="1"/>
  <c r="T169" i="1" s="1"/>
  <c r="U169" i="1" s="1"/>
  <c r="V169" i="1" s="1"/>
  <c r="W169" i="1" s="1"/>
  <c r="X169" i="1" s="1"/>
  <c r="Y169" i="1" s="1"/>
  <c r="Z169" i="1" s="1"/>
  <c r="AA169" i="1" s="1"/>
  <c r="AB169" i="1" s="1"/>
  <c r="AC169" i="1" s="1"/>
  <c r="AD169" i="1" s="1"/>
  <c r="S171" i="1"/>
  <c r="S170" i="1"/>
  <c r="U193" i="1"/>
  <c r="V193" i="1" s="1"/>
  <c r="W193" i="1" s="1"/>
  <c r="X193" i="1" s="1"/>
  <c r="Y193" i="1" s="1"/>
  <c r="Z193" i="1" s="1"/>
  <c r="AA193" i="1" s="1"/>
  <c r="AB193" i="1" s="1"/>
  <c r="AC193" i="1" s="1"/>
  <c r="AD193" i="1" s="1"/>
  <c r="U195" i="1"/>
  <c r="U194" i="1"/>
  <c r="X43" i="1"/>
  <c r="X42" i="1"/>
  <c r="AC251" i="1"/>
  <c r="AC250" i="1"/>
  <c r="V115" i="1"/>
  <c r="V114" i="1"/>
  <c r="AB50" i="1"/>
  <c r="AB51" i="1"/>
  <c r="Y315" i="1"/>
  <c r="AC227" i="1"/>
  <c r="AC226" i="1"/>
  <c r="W99" i="1"/>
  <c r="W98" i="1"/>
  <c r="AD34" i="1"/>
  <c r="AD35" i="1"/>
  <c r="AB315" i="1"/>
  <c r="S81" i="1"/>
  <c r="T81" i="1" s="1"/>
  <c r="S83" i="1"/>
  <c r="S82" i="1"/>
  <c r="Y19" i="1"/>
  <c r="Y18" i="1"/>
  <c r="W147" i="1"/>
  <c r="W146" i="1"/>
  <c r="Y257" i="1"/>
  <c r="Z257" i="1" s="1"/>
  <c r="AA257" i="1" s="1"/>
  <c r="AB257" i="1" s="1"/>
  <c r="AC257" i="1" s="1"/>
  <c r="AD257" i="1" s="1"/>
  <c r="Y258" i="1"/>
  <c r="Y259" i="1"/>
  <c r="Z243" i="1"/>
  <c r="Z242" i="1"/>
  <c r="W315" i="1"/>
  <c r="AC66" i="1"/>
  <c r="AC67" i="1"/>
  <c r="Z211" i="1"/>
  <c r="Z210" i="1"/>
  <c r="U17" i="1"/>
  <c r="U19" i="1"/>
  <c r="U18" i="1"/>
  <c r="AB27" i="1"/>
  <c r="AB26" i="1"/>
  <c r="T315" i="1"/>
  <c r="Z203" i="1"/>
  <c r="Z202" i="1"/>
  <c r="AA243" i="1"/>
  <c r="AA242" i="1"/>
  <c r="Z170" i="1"/>
  <c r="Z171" i="1"/>
  <c r="Y115" i="1"/>
  <c r="Y114" i="1"/>
  <c r="W33" i="1"/>
  <c r="X33" i="1" s="1"/>
  <c r="Y33" i="1" s="1"/>
  <c r="Z33" i="1" s="1"/>
  <c r="AA33" i="1" s="1"/>
  <c r="AB33" i="1" s="1"/>
  <c r="AC33" i="1" s="1"/>
  <c r="AD33" i="1" s="1"/>
  <c r="W35" i="1"/>
  <c r="W34" i="1"/>
  <c r="AB67" i="1"/>
  <c r="AB66" i="1"/>
  <c r="AA50" i="1"/>
  <c r="AA51" i="1"/>
  <c r="V123" i="1"/>
  <c r="V122" i="1"/>
  <c r="U147" i="1"/>
  <c r="U146" i="1"/>
  <c r="Y170" i="1"/>
  <c r="Y171" i="1"/>
  <c r="AA155" i="1"/>
  <c r="AA154" i="1"/>
  <c r="U115" i="1"/>
  <c r="U114" i="1"/>
  <c r="Z235" i="1"/>
  <c r="Z234" i="1"/>
  <c r="AB99" i="1"/>
  <c r="AB98" i="1"/>
  <c r="AB211" i="1"/>
  <c r="AB210" i="1"/>
  <c r="S65" i="1"/>
  <c r="T65" i="1" s="1"/>
  <c r="U65" i="1" s="1"/>
  <c r="V65" i="1" s="1"/>
  <c r="W65" i="1" s="1"/>
  <c r="X65" i="1" s="1"/>
  <c r="Y65" i="1" s="1"/>
  <c r="Z65" i="1" s="1"/>
  <c r="AA65" i="1" s="1"/>
  <c r="AB65" i="1" s="1"/>
  <c r="AC65" i="1" s="1"/>
  <c r="AD65" i="1" s="1"/>
  <c r="S67" i="1"/>
  <c r="S66" i="1"/>
  <c r="AA19" i="1"/>
  <c r="AA18" i="1"/>
  <c r="T241" i="1"/>
  <c r="U241" i="1" s="1"/>
  <c r="V241" i="1" s="1"/>
  <c r="W241" i="1" s="1"/>
  <c r="X241" i="1" s="1"/>
  <c r="Y241" i="1" s="1"/>
  <c r="Z241" i="1" s="1"/>
  <c r="AA241" i="1" s="1"/>
  <c r="AB241" i="1" s="1"/>
  <c r="AC241" i="1" s="1"/>
  <c r="AD241" i="1" s="1"/>
  <c r="T243" i="1"/>
  <c r="T242" i="1"/>
  <c r="U163" i="1"/>
  <c r="U162" i="1"/>
  <c r="U33" i="1"/>
  <c r="V33" i="1" s="1"/>
  <c r="U35" i="1"/>
  <c r="U34" i="1"/>
  <c r="S137" i="1"/>
  <c r="T137" i="1" s="1"/>
  <c r="U137" i="1" s="1"/>
  <c r="V137" i="1" s="1"/>
  <c r="W137" i="1" s="1"/>
  <c r="X137" i="1" s="1"/>
  <c r="Y137" i="1" s="1"/>
  <c r="Z137" i="1" s="1"/>
  <c r="AA137" i="1" s="1"/>
  <c r="AB137" i="1" s="1"/>
  <c r="AC137" i="1" s="1"/>
  <c r="AD137" i="1" s="1"/>
  <c r="S139" i="1"/>
  <c r="S138" i="1"/>
  <c r="W123" i="1"/>
  <c r="W122" i="1"/>
  <c r="AB179" i="1"/>
  <c r="AB178" i="1"/>
  <c r="V59" i="1"/>
  <c r="V58" i="1"/>
  <c r="W195" i="1"/>
  <c r="W194" i="1"/>
  <c r="Y139" i="1"/>
  <c r="Y138" i="1"/>
  <c r="Z99" i="1"/>
  <c r="Z98" i="1"/>
  <c r="V163" i="1"/>
  <c r="V162" i="1"/>
  <c r="X99" i="1"/>
  <c r="X98" i="1"/>
  <c r="S307" i="1" l="1"/>
  <c r="S304" i="1"/>
  <c r="T276" i="1" a="1"/>
  <c r="T276" i="1" s="1"/>
  <c r="T300" i="1" s="1"/>
  <c r="AH119" i="1"/>
  <c r="AH118" i="1" s="1"/>
  <c r="T280" i="1" a="1"/>
  <c r="T280" i="1" s="1"/>
  <c r="T303" i="1" s="1"/>
  <c r="T292" i="1" a="1"/>
  <c r="T292" i="1" s="1"/>
  <c r="T309" i="1" s="1"/>
  <c r="T290" i="1" a="1"/>
  <c r="T290" i="1" s="1"/>
  <c r="T308" i="1" s="1"/>
  <c r="T274" i="1" a="1"/>
  <c r="T274" i="1" s="1"/>
  <c r="T299" i="1" s="1"/>
  <c r="AH135" i="1"/>
  <c r="W313" i="1"/>
  <c r="S311" i="1"/>
  <c r="AA313" i="1"/>
  <c r="CW6" i="1"/>
  <c r="CW7" i="1" s="1"/>
  <c r="CW9" i="1" s="1"/>
  <c r="CW8" i="1" s="1"/>
  <c r="S286" i="1" a="1"/>
  <c r="S286" i="1" s="1"/>
  <c r="S278" i="1" a="1"/>
  <c r="S278" i="1" s="1"/>
  <c r="AC313" i="1"/>
  <c r="S294" i="1" a="1"/>
  <c r="S294" i="1" s="1"/>
  <c r="T49" i="1"/>
  <c r="T282" i="1" s="1" a="1"/>
  <c r="T282" i="1" s="1"/>
  <c r="AC311" i="1"/>
  <c r="S313" i="1"/>
  <c r="S280" i="1" a="1"/>
  <c r="S280" i="1" s="1"/>
  <c r="S276" i="1" a="1"/>
  <c r="S276" i="1" s="1"/>
  <c r="S290" i="1" a="1"/>
  <c r="S290" i="1" s="1"/>
  <c r="Y313" i="1"/>
  <c r="AB313" i="1"/>
  <c r="C330" i="1"/>
  <c r="D329" i="1"/>
  <c r="AA311" i="1"/>
  <c r="W311" i="1"/>
  <c r="U311" i="1"/>
  <c r="S284" i="1" a="1"/>
  <c r="S284" i="1" s="1"/>
  <c r="U313" i="1"/>
  <c r="AH46" i="1"/>
  <c r="AD313" i="1"/>
  <c r="V311" i="1"/>
  <c r="T286" i="1" a="1"/>
  <c r="T286" i="1" s="1"/>
  <c r="T306" i="1" s="1"/>
  <c r="T313" i="1"/>
  <c r="S292" i="1" a="1"/>
  <c r="S292" i="1" s="1"/>
  <c r="Y311" i="1"/>
  <c r="AD311" i="1"/>
  <c r="Z311" i="1"/>
  <c r="S266" i="1" a="1"/>
  <c r="S266" i="1" s="1"/>
  <c r="AH127" i="1"/>
  <c r="V313" i="1"/>
  <c r="AE315" i="1"/>
  <c r="AF315" i="1" s="1"/>
  <c r="V17" i="1"/>
  <c r="S274" i="1" a="1"/>
  <c r="S274" i="1" s="1"/>
  <c r="T284" i="1" a="1"/>
  <c r="T284" i="1" s="1"/>
  <c r="T305" i="1" s="1"/>
  <c r="CX3" i="1"/>
  <c r="CY4" i="1"/>
  <c r="CX5" i="1"/>
  <c r="T311" i="1"/>
  <c r="AB311" i="1"/>
  <c r="T278" i="1" a="1"/>
  <c r="T278" i="1" s="1"/>
  <c r="T301" i="1" s="1"/>
  <c r="T304" i="1" l="1"/>
  <c r="S312" i="1"/>
  <c r="CX6" i="1"/>
  <c r="CX7" i="1" s="1"/>
  <c r="CX9" i="1" s="1"/>
  <c r="CX8" i="1" s="1"/>
  <c r="S310" i="1"/>
  <c r="CZ4" i="1"/>
  <c r="CY3" i="1"/>
  <c r="CY5" i="1"/>
  <c r="S305" i="1"/>
  <c r="S308" i="1"/>
  <c r="S301" i="1"/>
  <c r="T288" i="1" a="1"/>
  <c r="T288" i="1" s="1"/>
  <c r="S309" i="1"/>
  <c r="S300" i="1"/>
  <c r="S306" i="1"/>
  <c r="S303" i="1"/>
  <c r="AE313" i="1"/>
  <c r="AF313" i="1" s="1"/>
  <c r="S299" i="1"/>
  <c r="W17" i="1"/>
  <c r="D330" i="1"/>
  <c r="C331" i="1"/>
  <c r="T294" i="1" a="1"/>
  <c r="T294" i="1" s="1"/>
  <c r="T310" i="1" s="1"/>
  <c r="U49" i="1"/>
  <c r="AE311" i="1"/>
  <c r="AF311" i="1" s="1"/>
  <c r="T266" i="1" a="1"/>
  <c r="T266" i="1" s="1"/>
  <c r="T312" i="1" s="1"/>
  <c r="C332" i="1" l="1"/>
  <c r="D331" i="1"/>
  <c r="S314" i="1"/>
  <c r="X17" i="1"/>
  <c r="CY6" i="1"/>
  <c r="CY7" i="1" s="1"/>
  <c r="CY9" i="1" s="1"/>
  <c r="CY8" i="1" s="1"/>
  <c r="T307" i="1"/>
  <c r="V49" i="1"/>
  <c r="U290" i="1" a="1"/>
  <c r="U290" i="1" s="1"/>
  <c r="U278" i="1" a="1"/>
  <c r="U278" i="1" s="1"/>
  <c r="U284" i="1" a="1"/>
  <c r="U284" i="1" s="1"/>
  <c r="U292" i="1" a="1"/>
  <c r="U292" i="1" s="1"/>
  <c r="U288" i="1" a="1"/>
  <c r="U288" i="1" s="1"/>
  <c r="U307" i="1" s="1"/>
  <c r="U294" i="1" a="1"/>
  <c r="U294" i="1" s="1"/>
  <c r="U310" i="1" s="1"/>
  <c r="U282" i="1" a="1"/>
  <c r="U282" i="1" s="1"/>
  <c r="U274" i="1" a="1"/>
  <c r="U274" i="1" s="1"/>
  <c r="U280" i="1" a="1"/>
  <c r="U280" i="1" s="1"/>
  <c r="U266" i="1" a="1"/>
  <c r="U266" i="1" s="1"/>
  <c r="U312" i="1" s="1"/>
  <c r="U286" i="1" a="1"/>
  <c r="U286" i="1" s="1"/>
  <c r="U276" i="1" a="1"/>
  <c r="U276" i="1" s="1"/>
  <c r="DA4" i="1"/>
  <c r="CZ5" i="1"/>
  <c r="CZ3" i="1"/>
  <c r="DA5" i="1" l="1"/>
  <c r="DB4" i="1"/>
  <c r="DA3" i="1"/>
  <c r="CZ6" i="1"/>
  <c r="CZ7" i="1" s="1"/>
  <c r="CZ9" i="1" s="1"/>
  <c r="CZ8" i="1" s="1"/>
  <c r="T314" i="1"/>
  <c r="S317" i="1"/>
  <c r="U299" i="1"/>
  <c r="W49" i="1"/>
  <c r="V278" i="1" a="1"/>
  <c r="V278" i="1" s="1"/>
  <c r="V301" i="1" s="1"/>
  <c r="V280" i="1" a="1"/>
  <c r="V280" i="1" s="1"/>
  <c r="V303" i="1" s="1"/>
  <c r="V274" i="1" a="1"/>
  <c r="V274" i="1" s="1"/>
  <c r="V299" i="1" s="1"/>
  <c r="V284" i="1" a="1"/>
  <c r="V284" i="1" s="1"/>
  <c r="V305" i="1" s="1"/>
  <c r="V282" i="1" a="1"/>
  <c r="V282" i="1" s="1"/>
  <c r="V304" i="1" s="1"/>
  <c r="V266" i="1" a="1"/>
  <c r="V266" i="1" s="1"/>
  <c r="V286" i="1" a="1"/>
  <c r="V286" i="1" s="1"/>
  <c r="V306" i="1" s="1"/>
  <c r="V290" i="1" a="1"/>
  <c r="V290" i="1" s="1"/>
  <c r="V308" i="1" s="1"/>
  <c r="V276" i="1" a="1"/>
  <c r="V276" i="1" s="1"/>
  <c r="V300" i="1" s="1"/>
  <c r="V288" i="1" a="1"/>
  <c r="V288" i="1" s="1"/>
  <c r="V307" i="1" s="1"/>
  <c r="V292" i="1" a="1"/>
  <c r="V292" i="1" s="1"/>
  <c r="V309" i="1" s="1"/>
  <c r="V294" i="1" a="1"/>
  <c r="V294" i="1" s="1"/>
  <c r="V310" i="1" s="1"/>
  <c r="U309" i="1"/>
  <c r="U304" i="1"/>
  <c r="U300" i="1"/>
  <c r="U305" i="1"/>
  <c r="U306" i="1"/>
  <c r="U301" i="1"/>
  <c r="Y17" i="1"/>
  <c r="C333" i="1"/>
  <c r="D332" i="1"/>
  <c r="U303" i="1"/>
  <c r="U308" i="1"/>
  <c r="T317" i="1"/>
  <c r="C334" i="1" l="1"/>
  <c r="D333" i="1"/>
  <c r="V312" i="1"/>
  <c r="U314" i="1"/>
  <c r="X49" i="1"/>
  <c r="W290" i="1" a="1"/>
  <c r="W290" i="1" s="1"/>
  <c r="W308" i="1" s="1"/>
  <c r="W282" i="1" a="1"/>
  <c r="W282" i="1" s="1"/>
  <c r="W278" i="1" a="1"/>
  <c r="W278" i="1" s="1"/>
  <c r="W284" i="1" a="1"/>
  <c r="W284" i="1" s="1"/>
  <c r="W294" i="1" a="1"/>
  <c r="W294" i="1" s="1"/>
  <c r="W276" i="1" a="1"/>
  <c r="W276" i="1" s="1"/>
  <c r="W292" i="1" a="1"/>
  <c r="W292" i="1" s="1"/>
  <c r="W309" i="1" s="1"/>
  <c r="W288" i="1" a="1"/>
  <c r="W288" i="1" s="1"/>
  <c r="W307" i="1" s="1"/>
  <c r="W286" i="1" a="1"/>
  <c r="W286" i="1" s="1"/>
  <c r="W306" i="1" s="1"/>
  <c r="W266" i="1" a="1"/>
  <c r="W266" i="1" s="1"/>
  <c r="W312" i="1" s="1"/>
  <c r="W274" i="1" a="1"/>
  <c r="W274" i="1" s="1"/>
  <c r="W299" i="1" s="1"/>
  <c r="W280" i="1" a="1"/>
  <c r="W280" i="1" s="1"/>
  <c r="Z17" i="1"/>
  <c r="DB5" i="1"/>
  <c r="DB3" i="1"/>
  <c r="DC4" i="1"/>
  <c r="V314" i="1"/>
  <c r="V317" i="1" s="1"/>
  <c r="DA6" i="1"/>
  <c r="DA7" i="1" s="1"/>
  <c r="DA9" i="1" s="1"/>
  <c r="DA8" i="1"/>
  <c r="DD4" i="1" l="1"/>
  <c r="DC5" i="1"/>
  <c r="DC3" i="1"/>
  <c r="W300" i="1"/>
  <c r="W310" i="1"/>
  <c r="U317" i="1"/>
  <c r="DB6" i="1"/>
  <c r="DB7" i="1" s="1"/>
  <c r="DB9" i="1" s="1"/>
  <c r="DB8" i="1" s="1"/>
  <c r="AA17" i="1"/>
  <c r="W303" i="1"/>
  <c r="W305" i="1"/>
  <c r="W301" i="1"/>
  <c r="W304" i="1"/>
  <c r="Y49" i="1"/>
  <c r="X266" i="1" a="1"/>
  <c r="X266" i="1" s="1"/>
  <c r="X312" i="1" s="1"/>
  <c r="X290" i="1" a="1"/>
  <c r="X290" i="1" s="1"/>
  <c r="X308" i="1" s="1"/>
  <c r="X274" i="1" a="1"/>
  <c r="X274" i="1" s="1"/>
  <c r="X299" i="1" s="1"/>
  <c r="X280" i="1" a="1"/>
  <c r="X280" i="1" s="1"/>
  <c r="X303" i="1" s="1"/>
  <c r="X276" i="1" a="1"/>
  <c r="X276" i="1" s="1"/>
  <c r="X300" i="1" s="1"/>
  <c r="X278" i="1" a="1"/>
  <c r="X278" i="1" s="1"/>
  <c r="X301" i="1" s="1"/>
  <c r="X294" i="1" a="1"/>
  <c r="X294" i="1" s="1"/>
  <c r="X310" i="1" s="1"/>
  <c r="X288" i="1" a="1"/>
  <c r="X288" i="1" s="1"/>
  <c r="X307" i="1" s="1"/>
  <c r="X286" i="1" a="1"/>
  <c r="X286" i="1" s="1"/>
  <c r="X306" i="1" s="1"/>
  <c r="X284" i="1" a="1"/>
  <c r="X284" i="1" s="1"/>
  <c r="X305" i="1" s="1"/>
  <c r="X292" i="1" a="1"/>
  <c r="X292" i="1" s="1"/>
  <c r="X309" i="1" s="1"/>
  <c r="X282" i="1" a="1"/>
  <c r="X282" i="1" s="1"/>
  <c r="X304" i="1" s="1"/>
  <c r="C335" i="1"/>
  <c r="D334" i="1"/>
  <c r="X314" i="1" l="1"/>
  <c r="X317" i="1" s="1"/>
  <c r="Z49" i="1"/>
  <c r="Y274" i="1" a="1"/>
  <c r="Y274" i="1" s="1"/>
  <c r="Y299" i="1" s="1"/>
  <c r="Y266" i="1" a="1"/>
  <c r="Y266" i="1" s="1"/>
  <c r="Y292" i="1" a="1"/>
  <c r="Y292" i="1" s="1"/>
  <c r="Y309" i="1" s="1"/>
  <c r="Y288" i="1" a="1"/>
  <c r="Y288" i="1" s="1"/>
  <c r="Y307" i="1" s="1"/>
  <c r="Y286" i="1" a="1"/>
  <c r="Y286" i="1" s="1"/>
  <c r="Y306" i="1" s="1"/>
  <c r="Y284" i="1" a="1"/>
  <c r="Y284" i="1" s="1"/>
  <c r="Y305" i="1" s="1"/>
  <c r="Y278" i="1" a="1"/>
  <c r="Y278" i="1" s="1"/>
  <c r="Y301" i="1" s="1"/>
  <c r="Y280" i="1" a="1"/>
  <c r="Y280" i="1" s="1"/>
  <c r="Y303" i="1" s="1"/>
  <c r="Y290" i="1" a="1"/>
  <c r="Y290" i="1" s="1"/>
  <c r="Y308" i="1" s="1"/>
  <c r="Y276" i="1" a="1"/>
  <c r="Y276" i="1" s="1"/>
  <c r="Y300" i="1" s="1"/>
  <c r="Y294" i="1" a="1"/>
  <c r="Y294" i="1" s="1"/>
  <c r="Y310" i="1" s="1"/>
  <c r="Y282" i="1" a="1"/>
  <c r="Y282" i="1" s="1"/>
  <c r="Y304" i="1" s="1"/>
  <c r="DC6" i="1"/>
  <c r="DC7" i="1" s="1"/>
  <c r="DC9" i="1" s="1"/>
  <c r="DC8" i="1" s="1"/>
  <c r="DD5" i="1"/>
  <c r="DD3" i="1"/>
  <c r="DE4" i="1"/>
  <c r="C336" i="1"/>
  <c r="D335" i="1"/>
  <c r="W314" i="1"/>
  <c r="AB17" i="1"/>
  <c r="DD8" i="1" l="1"/>
  <c r="DD6" i="1"/>
  <c r="DD7" i="1" s="1"/>
  <c r="DD9" i="1" s="1"/>
  <c r="Y312" i="1"/>
  <c r="C337" i="1"/>
  <c r="D336" i="1"/>
  <c r="Y314" i="1"/>
  <c r="Y317" i="1" s="1"/>
  <c r="AA49" i="1"/>
  <c r="Z286" i="1" a="1"/>
  <c r="Z286" i="1" s="1"/>
  <c r="Z306" i="1" s="1"/>
  <c r="Z274" i="1" a="1"/>
  <c r="Z274" i="1" s="1"/>
  <c r="Z299" i="1" s="1"/>
  <c r="Z276" i="1" a="1"/>
  <c r="Z276" i="1" s="1"/>
  <c r="Z300" i="1" s="1"/>
  <c r="Z278" i="1" a="1"/>
  <c r="Z278" i="1" s="1"/>
  <c r="Z284" i="1" a="1"/>
  <c r="Z284" i="1" s="1"/>
  <c r="Z305" i="1" s="1"/>
  <c r="Z280" i="1" a="1"/>
  <c r="Z280" i="1" s="1"/>
  <c r="Z303" i="1" s="1"/>
  <c r="Z292" i="1" a="1"/>
  <c r="Z292" i="1" s="1"/>
  <c r="Z309" i="1" s="1"/>
  <c r="Z294" i="1" a="1"/>
  <c r="Z294" i="1" s="1"/>
  <c r="Z310" i="1" s="1"/>
  <c r="Z282" i="1" a="1"/>
  <c r="Z282" i="1" s="1"/>
  <c r="Z304" i="1" s="1"/>
  <c r="Z290" i="1" a="1"/>
  <c r="Z290" i="1" s="1"/>
  <c r="Z308" i="1" s="1"/>
  <c r="Z266" i="1" a="1"/>
  <c r="Z266" i="1" s="1"/>
  <c r="Z312" i="1" s="1"/>
  <c r="Z288" i="1" a="1"/>
  <c r="Z288" i="1" s="1"/>
  <c r="Z307" i="1" s="1"/>
  <c r="W317" i="1"/>
  <c r="AC17" i="1"/>
  <c r="DE3" i="1"/>
  <c r="DE5" i="1"/>
  <c r="DF4" i="1"/>
  <c r="C338" i="1" l="1"/>
  <c r="D337" i="1"/>
  <c r="AD17" i="1"/>
  <c r="AB49" i="1"/>
  <c r="AA286" i="1" a="1"/>
  <c r="AA286" i="1" s="1"/>
  <c r="AA306" i="1" s="1"/>
  <c r="AA292" i="1" a="1"/>
  <c r="AA292" i="1" s="1"/>
  <c r="AA309" i="1" s="1"/>
  <c r="AA282" i="1" a="1"/>
  <c r="AA282" i="1" s="1"/>
  <c r="AA304" i="1" s="1"/>
  <c r="AA290" i="1" a="1"/>
  <c r="AA290" i="1" s="1"/>
  <c r="AA308" i="1" s="1"/>
  <c r="AA294" i="1" a="1"/>
  <c r="AA294" i="1" s="1"/>
  <c r="AA310" i="1" s="1"/>
  <c r="AA276" i="1" a="1"/>
  <c r="AA276" i="1" s="1"/>
  <c r="AA300" i="1" s="1"/>
  <c r="AA266" i="1" a="1"/>
  <c r="AA266" i="1" s="1"/>
  <c r="AA312" i="1" s="1"/>
  <c r="AA278" i="1" a="1"/>
  <c r="AA278" i="1" s="1"/>
  <c r="AA301" i="1" s="1"/>
  <c r="AA274" i="1" a="1"/>
  <c r="AA274" i="1" s="1"/>
  <c r="AA299" i="1" s="1"/>
  <c r="AA280" i="1" a="1"/>
  <c r="AA280" i="1" s="1"/>
  <c r="AA303" i="1" s="1"/>
  <c r="AA284" i="1" a="1"/>
  <c r="AA284" i="1" s="1"/>
  <c r="AA305" i="1" s="1"/>
  <c r="AA288" i="1" a="1"/>
  <c r="AA288" i="1" s="1"/>
  <c r="AA307" i="1" s="1"/>
  <c r="Z301" i="1"/>
  <c r="Z314" i="1" s="1"/>
  <c r="DF3" i="1"/>
  <c r="DF5" i="1"/>
  <c r="DG4" i="1"/>
  <c r="DE8" i="1"/>
  <c r="DE6" i="1"/>
  <c r="DE7" i="1" s="1"/>
  <c r="DE9" i="1" s="1"/>
  <c r="DH4" i="1" l="1"/>
  <c r="DG5" i="1"/>
  <c r="DG3" i="1"/>
  <c r="Z317" i="1"/>
  <c r="DF8" i="1"/>
  <c r="DF6" i="1"/>
  <c r="DF7" i="1" s="1"/>
  <c r="DF9" i="1" s="1"/>
  <c r="AA317" i="1"/>
  <c r="AA314" i="1"/>
  <c r="AC49" i="1"/>
  <c r="AB266" i="1" a="1"/>
  <c r="AB266" i="1" s="1"/>
  <c r="AB312" i="1" s="1"/>
  <c r="AB286" i="1" a="1"/>
  <c r="AB286" i="1" s="1"/>
  <c r="AB306" i="1" s="1"/>
  <c r="AB288" i="1" a="1"/>
  <c r="AB288" i="1" s="1"/>
  <c r="AB307" i="1" s="1"/>
  <c r="AB278" i="1" a="1"/>
  <c r="AB278" i="1" s="1"/>
  <c r="AB301" i="1" s="1"/>
  <c r="AB292" i="1" a="1"/>
  <c r="AB292" i="1" s="1"/>
  <c r="AB309" i="1" s="1"/>
  <c r="AB284" i="1" a="1"/>
  <c r="AB284" i="1" s="1"/>
  <c r="AB305" i="1" s="1"/>
  <c r="AB280" i="1" a="1"/>
  <c r="AB280" i="1" s="1"/>
  <c r="AB303" i="1" s="1"/>
  <c r="AB282" i="1" a="1"/>
  <c r="AB282" i="1" s="1"/>
  <c r="AB304" i="1" s="1"/>
  <c r="AB274" i="1" a="1"/>
  <c r="AB274" i="1" s="1"/>
  <c r="AB299" i="1" s="1"/>
  <c r="AB276" i="1" a="1"/>
  <c r="AB276" i="1" s="1"/>
  <c r="AB300" i="1" s="1"/>
  <c r="AB294" i="1" a="1"/>
  <c r="AB294" i="1" s="1"/>
  <c r="AB310" i="1" s="1"/>
  <c r="AB290" i="1" a="1"/>
  <c r="AB290" i="1" s="1"/>
  <c r="AB308" i="1" s="1"/>
  <c r="C339" i="1"/>
  <c r="D338" i="1"/>
  <c r="C340" i="1" l="1"/>
  <c r="D339" i="1"/>
  <c r="AB314" i="1"/>
  <c r="AB317" i="1" s="1"/>
  <c r="AD49" i="1"/>
  <c r="AC284" i="1" a="1"/>
  <c r="AC284" i="1" s="1"/>
  <c r="AC305" i="1" s="1"/>
  <c r="AC286" i="1" a="1"/>
  <c r="AC286" i="1" s="1"/>
  <c r="AC306" i="1" s="1"/>
  <c r="AC292" i="1" a="1"/>
  <c r="AC292" i="1" s="1"/>
  <c r="AC309" i="1" s="1"/>
  <c r="AC288" i="1" a="1"/>
  <c r="AC288" i="1" s="1"/>
  <c r="AC307" i="1" s="1"/>
  <c r="AC282" i="1" a="1"/>
  <c r="AC282" i="1" s="1"/>
  <c r="AC304" i="1" s="1"/>
  <c r="AC274" i="1" a="1"/>
  <c r="AC274" i="1" s="1"/>
  <c r="AC299" i="1" s="1"/>
  <c r="AC280" i="1" a="1"/>
  <c r="AC280" i="1" s="1"/>
  <c r="AC303" i="1" s="1"/>
  <c r="AC294" i="1" a="1"/>
  <c r="AC294" i="1" s="1"/>
  <c r="AC310" i="1" s="1"/>
  <c r="AC278" i="1" a="1"/>
  <c r="AC278" i="1" s="1"/>
  <c r="AC301" i="1" s="1"/>
  <c r="AC276" i="1" a="1"/>
  <c r="AC276" i="1" s="1"/>
  <c r="AC300" i="1" s="1"/>
  <c r="AC266" i="1" a="1"/>
  <c r="AC266" i="1" s="1"/>
  <c r="AC312" i="1" s="1"/>
  <c r="AC290" i="1" a="1"/>
  <c r="AC290" i="1" s="1"/>
  <c r="AC308" i="1" s="1"/>
  <c r="DG8" i="1"/>
  <c r="DG6" i="1"/>
  <c r="DG7" i="1" s="1"/>
  <c r="DG9" i="1" s="1"/>
  <c r="DI4" i="1"/>
  <c r="DH5" i="1"/>
  <c r="DH3" i="1"/>
  <c r="DH6" i="1" l="1"/>
  <c r="DH7" i="1" s="1"/>
  <c r="DH9" i="1" s="1"/>
  <c r="DH8" i="1" s="1"/>
  <c r="AD280" i="1" a="1"/>
  <c r="AD280" i="1" s="1"/>
  <c r="AD292" i="1" a="1"/>
  <c r="AD292" i="1" s="1"/>
  <c r="AD288" i="1" a="1"/>
  <c r="AD288" i="1" s="1"/>
  <c r="AD294" i="1" a="1"/>
  <c r="AD294" i="1" s="1"/>
  <c r="AD278" i="1" a="1"/>
  <c r="AD278" i="1" s="1"/>
  <c r="AD284" i="1" a="1"/>
  <c r="AD284" i="1" s="1"/>
  <c r="AD290" i="1" a="1"/>
  <c r="AD290" i="1" s="1"/>
  <c r="AD274" i="1" a="1"/>
  <c r="AD274" i="1" s="1"/>
  <c r="AD276" i="1" a="1"/>
  <c r="AD276" i="1" s="1"/>
  <c r="AD286" i="1" a="1"/>
  <c r="AD286" i="1" s="1"/>
  <c r="AD282" i="1" a="1"/>
  <c r="AD282" i="1" s="1"/>
  <c r="AD266" i="1" a="1"/>
  <c r="AD266" i="1" s="1"/>
  <c r="DI5" i="1"/>
  <c r="DI3" i="1"/>
  <c r="DJ4" i="1"/>
  <c r="AC317" i="1"/>
  <c r="AC314" i="1"/>
  <c r="C341" i="1"/>
  <c r="D340" i="1"/>
  <c r="AD305" i="1" l="1"/>
  <c r="AE305" i="1" s="1"/>
  <c r="AF305" i="1" s="1"/>
  <c r="AE284" i="1"/>
  <c r="A284" i="1" s="1"/>
  <c r="A285" i="1" s="1"/>
  <c r="DI6" i="1"/>
  <c r="DI7" i="1" s="1"/>
  <c r="DI9" i="1" s="1"/>
  <c r="DI8" i="1"/>
  <c r="AD301" i="1"/>
  <c r="AE301" i="1" s="1"/>
  <c r="AF301" i="1" s="1"/>
  <c r="AE278" i="1"/>
  <c r="A278" i="1" s="1"/>
  <c r="A279" i="1" s="1"/>
  <c r="AD312" i="1"/>
  <c r="AE312" i="1" s="1"/>
  <c r="AF312" i="1" s="1"/>
  <c r="AE266" i="1"/>
  <c r="AD310" i="1"/>
  <c r="AE310" i="1" s="1"/>
  <c r="AF310" i="1" s="1"/>
  <c r="AE294" i="1"/>
  <c r="A294" i="1" s="1"/>
  <c r="A295" i="1" s="1"/>
  <c r="D341" i="1"/>
  <c r="C342" i="1"/>
  <c r="AD304" i="1"/>
  <c r="AE304" i="1" s="1"/>
  <c r="AF304" i="1" s="1"/>
  <c r="AE282" i="1"/>
  <c r="A282" i="1" s="1"/>
  <c r="A283" i="1" s="1"/>
  <c r="AD307" i="1"/>
  <c r="AE307" i="1" s="1"/>
  <c r="AF307" i="1" s="1"/>
  <c r="AE288" i="1"/>
  <c r="A288" i="1" s="1"/>
  <c r="A289" i="1" s="1"/>
  <c r="AD306" i="1"/>
  <c r="AE306" i="1" s="1"/>
  <c r="AF306" i="1" s="1"/>
  <c r="AE286" i="1"/>
  <c r="A286" i="1" s="1"/>
  <c r="A287" i="1" s="1"/>
  <c r="AD309" i="1"/>
  <c r="AE292" i="1"/>
  <c r="AD300" i="1"/>
  <c r="AE300" i="1" s="1"/>
  <c r="AF300" i="1" s="1"/>
  <c r="AE276" i="1"/>
  <c r="A276" i="1" s="1"/>
  <c r="A277" i="1" s="1"/>
  <c r="AD303" i="1"/>
  <c r="AE303" i="1" s="1"/>
  <c r="AF303" i="1" s="1"/>
  <c r="AE280" i="1"/>
  <c r="A280" i="1" s="1"/>
  <c r="A281" i="1" s="1"/>
  <c r="AD299" i="1"/>
  <c r="AE274" i="1"/>
  <c r="A274" i="1" s="1"/>
  <c r="A275" i="1" s="1"/>
  <c r="DK4" i="1"/>
  <c r="DJ5" i="1"/>
  <c r="DJ3" i="1"/>
  <c r="AD308" i="1"/>
  <c r="AE290" i="1"/>
  <c r="A290" i="1" l="1"/>
  <c r="A291" i="1" s="1"/>
  <c r="AE308" i="1"/>
  <c r="AF308" i="1" s="1"/>
  <c r="DJ6" i="1"/>
  <c r="DJ7" i="1" s="1"/>
  <c r="DJ9" i="1" s="1"/>
  <c r="DJ8" i="1"/>
  <c r="A292" i="1"/>
  <c r="A293" i="1" s="1"/>
  <c r="AE309" i="1"/>
  <c r="AF309" i="1" s="1"/>
  <c r="C343" i="1"/>
  <c r="D342" i="1"/>
  <c r="DK3" i="1"/>
  <c r="DK5" i="1"/>
  <c r="DL4" i="1"/>
  <c r="AD314" i="1"/>
  <c r="AE314" i="1" s="1"/>
  <c r="AF314" i="1" s="1"/>
  <c r="AE299" i="1"/>
  <c r="AF299" i="1" l="1"/>
  <c r="AE317" i="1"/>
  <c r="AF317" i="1" s="1"/>
  <c r="C344" i="1"/>
  <c r="D343" i="1"/>
  <c r="AD317" i="1"/>
  <c r="DL5" i="1"/>
  <c r="DM4" i="1"/>
  <c r="DL3" i="1"/>
  <c r="DK8" i="1"/>
  <c r="DK6" i="1"/>
  <c r="DK7" i="1" s="1"/>
  <c r="DK9" i="1" s="1"/>
  <c r="DL8" i="1" l="1"/>
  <c r="DL6" i="1"/>
  <c r="DL7" i="1" s="1"/>
  <c r="DL9" i="1" s="1"/>
  <c r="DM3" i="1"/>
  <c r="DM5" i="1"/>
  <c r="DN4" i="1"/>
  <c r="C345" i="1"/>
  <c r="D344" i="1"/>
  <c r="C346" i="1" l="1"/>
  <c r="D345" i="1"/>
  <c r="DN3" i="1"/>
  <c r="DN5" i="1"/>
  <c r="DO4" i="1"/>
  <c r="DM6" i="1"/>
  <c r="DM7" i="1" s="1"/>
  <c r="DM9" i="1" s="1"/>
  <c r="DM8" i="1" s="1"/>
  <c r="DP4" i="1" l="1"/>
  <c r="DO5" i="1"/>
  <c r="DO3" i="1"/>
  <c r="DN8" i="1"/>
  <c r="DN6" i="1"/>
  <c r="DN7" i="1" s="1"/>
  <c r="DN9" i="1" s="1"/>
  <c r="C347" i="1"/>
  <c r="D346" i="1"/>
  <c r="C348" i="1" l="1"/>
  <c r="D348" i="1" s="1"/>
  <c r="D347" i="1"/>
  <c r="DO6" i="1"/>
  <c r="DO7" i="1" s="1"/>
  <c r="DO9" i="1" s="1"/>
  <c r="DO8" i="1" s="1"/>
  <c r="DQ4" i="1"/>
  <c r="DP5" i="1"/>
  <c r="DP3" i="1"/>
  <c r="DP6" i="1" l="1"/>
  <c r="DP7" i="1" s="1"/>
  <c r="DP9" i="1" s="1"/>
  <c r="DP8" i="1" s="1"/>
  <c r="DQ5" i="1"/>
  <c r="DQ3" i="1"/>
  <c r="DR4" i="1"/>
  <c r="DR5" i="1" l="1"/>
  <c r="DR3" i="1"/>
  <c r="DS4" i="1"/>
  <c r="DQ6" i="1"/>
  <c r="DQ7" i="1" s="1"/>
  <c r="DQ9" i="1" s="1"/>
  <c r="DQ8" i="1" s="1"/>
  <c r="DS5" i="1" l="1"/>
  <c r="DS3" i="1"/>
  <c r="DT4" i="1"/>
  <c r="DR6" i="1"/>
  <c r="DR7" i="1" s="1"/>
  <c r="DR9" i="1" s="1"/>
  <c r="DR8" i="1" s="1"/>
  <c r="DS6" i="1" l="1"/>
  <c r="DS7" i="1" s="1"/>
  <c r="DS9" i="1" s="1"/>
  <c r="DS8" i="1" s="1"/>
  <c r="DT5" i="1"/>
  <c r="DT3" i="1"/>
  <c r="DT8" i="1" l="1"/>
  <c r="DT6" i="1"/>
  <c r="DT7" i="1" s="1"/>
  <c r="DT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author>
    <author>Corporate</author>
    <author>Rus</author>
    <author>John Rus</author>
    <author>None</author>
  </authors>
  <commentList>
    <comment ref="E5" authorId="0" shapeId="0" xr:uid="{F0590F7C-0568-4C7C-B798-C918226CD335}">
      <text>
        <r>
          <rPr>
            <sz val="10"/>
            <rFont val="Arial"/>
            <family val="2"/>
          </rPr>
          <t>Enter as a decimal amount NOT a percentage</t>
        </r>
      </text>
    </comment>
    <comment ref="E6" authorId="0" shapeId="0" xr:uid="{77C05D18-5CC1-4EF7-AF57-8F98DEDCB192}">
      <text>
        <r>
          <rPr>
            <sz val="10"/>
            <rFont val="Arial"/>
            <family val="2"/>
          </rPr>
          <t>Enter as a decimal amount NOT a percentage</t>
        </r>
      </text>
    </comment>
    <comment ref="F6" authorId="1" shapeId="0" xr:uid="{4167FE10-F921-4A45-93A5-8A63A4E92C9A}">
      <text>
        <r>
          <rPr>
            <sz val="10"/>
            <rFont val="Arial"/>
            <family val="2"/>
          </rPr>
          <t xml:space="preserve">If forecasting a rate change mid-budget, enter the new rate here.
</t>
        </r>
      </text>
    </comment>
    <comment ref="G6" authorId="2" shapeId="0" xr:uid="{4B6341E3-D35D-49D4-8E38-E9245596EF1A}">
      <text>
        <r>
          <rPr>
            <sz val="10"/>
            <rFont val="Arial"/>
            <family val="2"/>
          </rPr>
          <t xml:space="preserve">Enter the number of the month that the rate is projected to change.  For example a property with a fiscal year beginning October and the rate change may occur in July enter 10 for the 10th month of the fiscal year.  </t>
        </r>
      </text>
    </comment>
    <comment ref="S7" authorId="2" shapeId="0" xr:uid="{D76FA799-D7CB-4FF6-B539-BA1C0715D431}">
      <text>
        <r>
          <rPr>
            <sz val="10"/>
            <rFont val="Arial"/>
            <family val="2"/>
          </rPr>
          <t>Enter the number of pay periods in this month.</t>
        </r>
      </text>
    </comment>
    <comment ref="T7" authorId="2" shapeId="0" xr:uid="{04BAB619-34AE-433E-A26F-8C83CEE86740}">
      <text>
        <r>
          <rPr>
            <sz val="10"/>
            <rFont val="Arial"/>
            <family val="2"/>
          </rPr>
          <t>Enter the number of pay periods in this month.</t>
        </r>
      </text>
    </comment>
    <comment ref="U7" authorId="2" shapeId="0" xr:uid="{CE45E9F4-E62E-4F16-B0D1-210B29E9FE6A}">
      <text>
        <r>
          <rPr>
            <sz val="10"/>
            <rFont val="Arial"/>
            <family val="2"/>
          </rPr>
          <t>Enter the number of pay periods in this month.</t>
        </r>
      </text>
    </comment>
    <comment ref="V7" authorId="2" shapeId="0" xr:uid="{12E059FD-2A0E-4069-8252-13759DC71508}">
      <text>
        <r>
          <rPr>
            <sz val="10"/>
            <rFont val="Arial"/>
            <family val="2"/>
          </rPr>
          <t>Enter the number of pay periods in this month.</t>
        </r>
      </text>
    </comment>
    <comment ref="W7" authorId="2" shapeId="0" xr:uid="{05FDC061-75C4-487B-B777-394004040D08}">
      <text>
        <r>
          <rPr>
            <sz val="10"/>
            <rFont val="Arial"/>
            <family val="2"/>
          </rPr>
          <t>Enter the number of pay periods in this month.</t>
        </r>
      </text>
    </comment>
    <comment ref="X7" authorId="2" shapeId="0" xr:uid="{0CE31CC7-6587-4EDC-A5D0-B14EB623419F}">
      <text>
        <r>
          <rPr>
            <sz val="10"/>
            <rFont val="Arial"/>
            <family val="2"/>
          </rPr>
          <t>Enter the number of pay periods in this month.</t>
        </r>
      </text>
    </comment>
    <comment ref="Y7" authorId="2" shapeId="0" xr:uid="{B9DA94BC-1F81-4BAA-B423-444C5521C5A8}">
      <text>
        <r>
          <rPr>
            <sz val="10"/>
            <rFont val="Arial"/>
            <family val="2"/>
          </rPr>
          <t>Enter the number of pay periods in this month.</t>
        </r>
      </text>
    </comment>
    <comment ref="Z7" authorId="2" shapeId="0" xr:uid="{66CB9310-8193-4E73-8E55-FF449C82C660}">
      <text>
        <r>
          <rPr>
            <sz val="10"/>
            <rFont val="Arial"/>
            <family val="2"/>
          </rPr>
          <t>Enter the number of pay periods in this month.</t>
        </r>
      </text>
    </comment>
    <comment ref="AA7" authorId="2" shapeId="0" xr:uid="{05530118-DADE-43D0-A31F-9F69AC89ED4C}">
      <text>
        <r>
          <rPr>
            <sz val="10"/>
            <rFont val="Arial"/>
            <family val="2"/>
          </rPr>
          <t>Enter the number of pay periods in this month.</t>
        </r>
      </text>
    </comment>
    <comment ref="AB7" authorId="2" shapeId="0" xr:uid="{559C1BE5-C4C6-4F98-9476-26B0D20CA1EE}">
      <text>
        <r>
          <rPr>
            <sz val="10"/>
            <rFont val="Arial"/>
            <family val="2"/>
          </rPr>
          <t>Enter the number of pay periods in this month.</t>
        </r>
      </text>
    </comment>
    <comment ref="AC7" authorId="2" shapeId="0" xr:uid="{A27BB8FC-78ED-481A-8A11-6E3890620783}">
      <text>
        <r>
          <rPr>
            <sz val="10"/>
            <rFont val="Arial"/>
            <family val="2"/>
          </rPr>
          <t>Enter the number of pay periods in this month.</t>
        </r>
      </text>
    </comment>
    <comment ref="AD7" authorId="2" shapeId="0" xr:uid="{9477E530-D906-4790-AE5B-981CE97D42D2}">
      <text>
        <r>
          <rPr>
            <sz val="10"/>
            <rFont val="Arial"/>
            <family val="2"/>
          </rPr>
          <t>Enter the number of pay periods in this month.</t>
        </r>
      </text>
    </comment>
    <comment ref="S8" authorId="1" shapeId="0" xr:uid="{52E35DA9-E5E8-45CC-9C9B-7F499FA26D66}">
      <text>
        <r>
          <rPr>
            <sz val="10"/>
            <rFont val="Arial"/>
            <family val="2"/>
          </rPr>
          <t xml:space="preserve">Enter the number of times the Health Benefits will be billed this month
</t>
        </r>
      </text>
    </comment>
    <comment ref="T8" authorId="1" shapeId="0" xr:uid="{CA960D85-A651-4127-82D0-1F13845D0CCE}">
      <text>
        <r>
          <rPr>
            <sz val="10"/>
            <rFont val="Arial"/>
            <family val="2"/>
          </rPr>
          <t xml:space="preserve">Enter the number of times the Health Benefits will be billed this month
</t>
        </r>
      </text>
    </comment>
    <comment ref="U8" authorId="1" shapeId="0" xr:uid="{7098D8BE-0ED1-4C72-B537-E58E059567C5}">
      <text>
        <r>
          <rPr>
            <sz val="10"/>
            <rFont val="Arial"/>
            <family val="2"/>
          </rPr>
          <t xml:space="preserve">Enter the number of times the Health Benefits will be billed this month
</t>
        </r>
      </text>
    </comment>
    <comment ref="V8" authorId="1" shapeId="0" xr:uid="{FB7CDE6F-628F-496A-AF8F-79316C5F4D46}">
      <text>
        <r>
          <rPr>
            <sz val="10"/>
            <rFont val="Arial"/>
            <family val="2"/>
          </rPr>
          <t xml:space="preserve">Enter the number of times the Health Benefits will be billed this month
</t>
        </r>
      </text>
    </comment>
    <comment ref="W8" authorId="1" shapeId="0" xr:uid="{1DA77D75-B4E4-450E-99EA-7C6C6063918F}">
      <text>
        <r>
          <rPr>
            <sz val="10"/>
            <rFont val="Arial"/>
            <family val="2"/>
          </rPr>
          <t xml:space="preserve">Enter the number of times the Health Benefits will be billed this month
</t>
        </r>
      </text>
    </comment>
    <comment ref="X8" authorId="1" shapeId="0" xr:uid="{B0835070-03DF-406C-B14E-0E55CFBFBFEC}">
      <text>
        <r>
          <rPr>
            <sz val="10"/>
            <rFont val="Arial"/>
            <family val="2"/>
          </rPr>
          <t xml:space="preserve">Enter the number of times the Health Benefits will be billed this month
</t>
        </r>
      </text>
    </comment>
    <comment ref="Y8" authorId="1" shapeId="0" xr:uid="{F4D791A7-F59D-4F98-B44D-0A6DBE7F082C}">
      <text>
        <r>
          <rPr>
            <sz val="10"/>
            <rFont val="Arial"/>
            <family val="2"/>
          </rPr>
          <t xml:space="preserve">Enter the number of times the Health Benefits will be billed this month
</t>
        </r>
      </text>
    </comment>
    <comment ref="Z8" authorId="1" shapeId="0" xr:uid="{992FCB5B-B2AC-4EB3-891F-ABD96EE08495}">
      <text>
        <r>
          <rPr>
            <sz val="10"/>
            <rFont val="Arial"/>
            <family val="2"/>
          </rPr>
          <t xml:space="preserve">Enter the number of times the Health Benefits will be billed this month
</t>
        </r>
      </text>
    </comment>
    <comment ref="AA8" authorId="1" shapeId="0" xr:uid="{58CEB1E4-4A9C-4B8E-93F8-0371028F155A}">
      <text>
        <r>
          <rPr>
            <sz val="10"/>
            <rFont val="Arial"/>
            <family val="2"/>
          </rPr>
          <t xml:space="preserve">Enter the number of times the Health Benefits will be billed this month
</t>
        </r>
      </text>
    </comment>
    <comment ref="AB8" authorId="1" shapeId="0" xr:uid="{9A5DB70D-5081-4F2B-B9E9-E40069EDAB5C}">
      <text>
        <r>
          <rPr>
            <sz val="10"/>
            <rFont val="Arial"/>
            <family val="2"/>
          </rPr>
          <t xml:space="preserve">Enter the number of times the Health Benefits will be billed this month
</t>
        </r>
      </text>
    </comment>
    <comment ref="AC8" authorId="1" shapeId="0" xr:uid="{5C695E09-1BAD-4ABB-A58C-50B7A2366466}">
      <text>
        <r>
          <rPr>
            <sz val="10"/>
            <rFont val="Arial"/>
            <family val="2"/>
          </rPr>
          <t xml:space="preserve">Enter the number of times the Health Benefits will be billed this month
</t>
        </r>
      </text>
    </comment>
    <comment ref="AD8" authorId="1" shapeId="0" xr:uid="{2E9BF62F-DF00-4B88-86C2-E8F4CB1376D3}">
      <text>
        <r>
          <rPr>
            <sz val="10"/>
            <rFont val="Arial"/>
            <family val="2"/>
          </rPr>
          <t xml:space="preserve">Enter the number of times the Health Benefits will be billed this month
</t>
        </r>
      </text>
    </comment>
    <comment ref="E10" authorId="0" shapeId="0" xr:uid="{9D520CB1-B4D5-4A33-A337-09BAA949DEDA}">
      <text>
        <r>
          <rPr>
            <sz val="10"/>
            <rFont val="Arial"/>
            <family val="2"/>
          </rPr>
          <t>Enter here the amount charged per employee per month.</t>
        </r>
      </text>
    </comment>
    <comment ref="F14" authorId="0" shapeId="0" xr:uid="{9E799BC3-CFB6-4B21-967A-DE59203CD15B}">
      <text>
        <r>
          <rPr>
            <sz val="10"/>
            <rFont val="Arial"/>
            <family val="2"/>
          </rPr>
          <t>Enter a 1 if this property is this employees home property</t>
        </r>
      </text>
    </comment>
    <comment ref="G14" authorId="0" shapeId="0" xr:uid="{9104C8E0-0710-49D1-A279-435084AA5DD5}">
      <text>
        <r>
          <rPr>
            <sz val="10"/>
            <rFont val="Arial"/>
            <family val="2"/>
          </rPr>
          <t>For full time employees enter 1.0. If this employee is shared between properties enter the proration factor i.e. work 3 days a week on this property enter 0.6.</t>
        </r>
      </text>
    </comment>
    <comment ref="H14" authorId="0" shapeId="0" xr:uid="{DE6E4CB4-8C42-4D8F-9CFF-45B0BD832489}">
      <text>
        <r>
          <rPr>
            <sz val="10"/>
            <rFont val="Arial"/>
            <family val="2"/>
          </rPr>
          <t>Enter the number of Instructor Lead trainings this employee will attend.</t>
        </r>
      </text>
    </comment>
    <comment ref="I14" authorId="3" shapeId="0" xr:uid="{1130F685-E967-4549-B865-865C79A4F005}">
      <text>
        <r>
          <rPr>
            <sz val="10"/>
            <rFont val="Arial"/>
            <family val="2"/>
          </rPr>
          <t>Enter the monthly amount to be reimbursed.
This will be added into salary.</t>
        </r>
      </text>
    </comment>
    <comment ref="R14" authorId="0" shapeId="0" xr:uid="{88C7326E-4F0C-400F-A82C-F97FC6CBEECF}">
      <text>
        <r>
          <rPr>
            <sz val="10"/>
            <rFont val="Arial"/>
            <family val="2"/>
          </rPr>
          <t>If you want to include vacation in the budget, enter the number of weeks of vacation that will accrue for the year.  Consult with your client before budgeting vacation.</t>
        </r>
      </text>
    </comment>
    <comment ref="S15" authorId="0" shapeId="0" xr:uid="{A52E17C4-0E15-4888-ADFC-7860F79D60EE}">
      <text>
        <r>
          <rPr>
            <sz val="10"/>
            <rFont val="Arial"/>
            <family val="2"/>
          </rPr>
          <t>Enter here a variation in the monthly salary different from the calculated amount above.</t>
        </r>
      </text>
    </comment>
    <comment ref="T15" authorId="0" shapeId="0" xr:uid="{A939A896-3235-4792-B61C-4ED28873C210}">
      <text>
        <r>
          <rPr>
            <sz val="10"/>
            <rFont val="Arial"/>
            <family val="2"/>
          </rPr>
          <t>Enter here a variation in the monthly salary different from the calculated amount above.</t>
        </r>
      </text>
    </comment>
    <comment ref="U15" authorId="0" shapeId="0" xr:uid="{4833FE53-1E4F-41D7-AC27-9BE67C79B669}">
      <text>
        <r>
          <rPr>
            <sz val="10"/>
            <rFont val="Arial"/>
            <family val="2"/>
          </rPr>
          <t>Enter here a variation in the monthly salary different from the calculated amount above.</t>
        </r>
      </text>
    </comment>
    <comment ref="V15" authorId="0" shapeId="0" xr:uid="{DC2D9C22-622D-4F0D-8B4D-60245E1C3C01}">
      <text>
        <r>
          <rPr>
            <sz val="10"/>
            <rFont val="Arial"/>
            <family val="2"/>
          </rPr>
          <t>Enter here a variation in the monthly salary different from the calculated amount above.</t>
        </r>
      </text>
    </comment>
    <comment ref="W15" authorId="0" shapeId="0" xr:uid="{A00DC18C-C524-49FC-A4FB-612EE25852E6}">
      <text>
        <r>
          <rPr>
            <sz val="10"/>
            <rFont val="Arial"/>
            <family val="2"/>
          </rPr>
          <t>Enter here a variation in the monthly salary different from the calculated amount above.</t>
        </r>
      </text>
    </comment>
    <comment ref="X15" authorId="0" shapeId="0" xr:uid="{9A9DCB4F-B052-4468-8BD9-6B61786FE9F0}">
      <text>
        <r>
          <rPr>
            <sz val="10"/>
            <rFont val="Arial"/>
            <family val="2"/>
          </rPr>
          <t>Enter here a variation in the monthly salary different from the calculated amount above.</t>
        </r>
      </text>
    </comment>
    <comment ref="Y15" authorId="0" shapeId="0" xr:uid="{07BB7BF5-60F2-4850-9D1C-0D265E3EBB46}">
      <text>
        <r>
          <rPr>
            <sz val="10"/>
            <rFont val="Arial"/>
            <family val="2"/>
          </rPr>
          <t>Enter here a variation in the monthly salary different from the calculated amount above.</t>
        </r>
      </text>
    </comment>
    <comment ref="Z15" authorId="0" shapeId="0" xr:uid="{FD6BF846-2726-410C-A3C6-622E32C44215}">
      <text>
        <r>
          <rPr>
            <sz val="10"/>
            <rFont val="Arial"/>
            <family val="2"/>
          </rPr>
          <t>Enter here a variation in the monthly salary different from the calculated amount above.</t>
        </r>
      </text>
    </comment>
    <comment ref="AA15" authorId="0" shapeId="0" xr:uid="{D1DEF91B-B818-4077-9BFF-270910BDE183}">
      <text>
        <r>
          <rPr>
            <sz val="10"/>
            <rFont val="Arial"/>
            <family val="2"/>
          </rPr>
          <t>Enter here a variation in the monthly salary different from the calculated amount above.</t>
        </r>
      </text>
    </comment>
    <comment ref="AB15" authorId="0" shapeId="0" xr:uid="{AEA2284A-CE18-4234-B33A-0DDFA0852433}">
      <text>
        <r>
          <rPr>
            <sz val="10"/>
            <rFont val="Arial"/>
            <family val="2"/>
          </rPr>
          <t>Enter here a variation in the monthly salary different from the calculated amount above.</t>
        </r>
      </text>
    </comment>
    <comment ref="AC15" authorId="0" shapeId="0" xr:uid="{97089512-DB43-4608-80B2-0DBB075DF7ED}">
      <text>
        <r>
          <rPr>
            <sz val="10"/>
            <rFont val="Arial"/>
            <family val="2"/>
          </rPr>
          <t>Enter here a variation in the monthly salary different from the calculated amount above.</t>
        </r>
      </text>
    </comment>
    <comment ref="AD15" authorId="0" shapeId="0" xr:uid="{09CDB4C5-B5FE-4177-96F2-48D6D75C10FA}">
      <text>
        <r>
          <rPr>
            <sz val="10"/>
            <rFont val="Arial"/>
            <family val="2"/>
          </rPr>
          <t>Enter here a variation in the monthly salary different from the calculated amount above.</t>
        </r>
      </text>
    </comment>
    <comment ref="F22" authorId="0" shapeId="0" xr:uid="{52553545-D0BF-4D0D-A768-DFB6F8378839}">
      <text>
        <r>
          <rPr>
            <sz val="10"/>
            <rFont val="Arial"/>
            <family val="2"/>
          </rPr>
          <t>Enter a 1 if this property is this employees home property</t>
        </r>
      </text>
    </comment>
    <comment ref="G22" authorId="0" shapeId="0" xr:uid="{31365D25-A1B3-47A9-B508-AC1882D80763}">
      <text>
        <r>
          <rPr>
            <sz val="10"/>
            <rFont val="Arial"/>
            <family val="2"/>
          </rPr>
          <t>For full time employees enter 1.0. If this employee is share between properties enter the proration factor i.e. work 3 days a week on this property enter 0.6.</t>
        </r>
      </text>
    </comment>
    <comment ref="H22" authorId="0" shapeId="0" xr:uid="{90379A6B-A915-4A87-BA5B-85AA9505609D}">
      <text>
        <r>
          <rPr>
            <sz val="10"/>
            <rFont val="Arial"/>
            <family val="2"/>
          </rPr>
          <t>Enter the number of Instructor Lead trainings this employee will attend.</t>
        </r>
      </text>
    </comment>
    <comment ref="I22" authorId="3" shapeId="0" xr:uid="{8C5268C3-BDCC-4057-9B81-F7955101D01F}">
      <text>
        <r>
          <rPr>
            <sz val="10"/>
            <rFont val="Arial"/>
            <family val="2"/>
          </rPr>
          <t>Enter the monthly amount to be reimbursed.
This will be added into salary.</t>
        </r>
      </text>
    </comment>
    <comment ref="R22" authorId="0" shapeId="0" xr:uid="{E4C84859-8093-41FC-A6A3-89AC93280796}">
      <text>
        <r>
          <rPr>
            <sz val="10"/>
            <rFont val="Arial"/>
            <family val="2"/>
          </rPr>
          <t>If you want to include vacation in the budget, enter the number of weeks of vacation that will accrue for the year.  Consult with your client before budgeting vacation.</t>
        </r>
      </text>
    </comment>
    <comment ref="S23" authorId="0" shapeId="0" xr:uid="{940DBE9C-A8B2-493C-97D7-1B167C9577E8}">
      <text>
        <r>
          <rPr>
            <sz val="10"/>
            <rFont val="Arial"/>
            <family val="2"/>
          </rPr>
          <t>Enter here a variation in the monthly salary different from the calculated amount above.</t>
        </r>
      </text>
    </comment>
    <comment ref="T23" authorId="0" shapeId="0" xr:uid="{5CE4DB97-F45D-49A4-BBD6-D6FB20ABCD62}">
      <text>
        <r>
          <rPr>
            <sz val="10"/>
            <rFont val="Arial"/>
            <family val="2"/>
          </rPr>
          <t>Enter here a variation in the monthly salary different from the calculated amount above.</t>
        </r>
      </text>
    </comment>
    <comment ref="U23" authorId="0" shapeId="0" xr:uid="{23C34989-F8DD-43A7-A0B8-6C081BC2D1FF}">
      <text>
        <r>
          <rPr>
            <sz val="10"/>
            <rFont val="Arial"/>
            <family val="2"/>
          </rPr>
          <t>Enter here a variation in the monthly salary different from the calculated amount above.</t>
        </r>
      </text>
    </comment>
    <comment ref="V23" authorId="0" shapeId="0" xr:uid="{5DD320D3-74A1-4603-A2DD-C2A514E7A027}">
      <text>
        <r>
          <rPr>
            <sz val="10"/>
            <rFont val="Arial"/>
            <family val="2"/>
          </rPr>
          <t>Enter here a variation in the monthly salary different from the calculated amount above.</t>
        </r>
      </text>
    </comment>
    <comment ref="W23" authorId="0" shapeId="0" xr:uid="{90189F54-4E50-4584-AC41-81BC767D9CB4}">
      <text>
        <r>
          <rPr>
            <sz val="10"/>
            <rFont val="Arial"/>
            <family val="2"/>
          </rPr>
          <t>Enter here a variation in the monthly salary different from the calculated amount above.</t>
        </r>
      </text>
    </comment>
    <comment ref="X23" authorId="0" shapeId="0" xr:uid="{4AB3CBEE-7D6D-426A-941D-E4C9ABAED02B}">
      <text>
        <r>
          <rPr>
            <sz val="10"/>
            <rFont val="Arial"/>
            <family val="2"/>
          </rPr>
          <t>Enter here a variation in the monthly salary different from the calculated amount above.</t>
        </r>
      </text>
    </comment>
    <comment ref="Y23" authorId="0" shapeId="0" xr:uid="{C8142A1D-0A75-46BB-AD4B-EB4EA780CDA3}">
      <text>
        <r>
          <rPr>
            <sz val="10"/>
            <rFont val="Arial"/>
            <family val="2"/>
          </rPr>
          <t>Enter here a variation in the monthly salary different from the calculated amount above.</t>
        </r>
      </text>
    </comment>
    <comment ref="Z23" authorId="0" shapeId="0" xr:uid="{61A1518B-3BD6-4E95-908B-CA777A9D6560}">
      <text>
        <r>
          <rPr>
            <sz val="10"/>
            <rFont val="Arial"/>
            <family val="2"/>
          </rPr>
          <t>Enter here a variation in the monthly salary different from the calculated amount above.</t>
        </r>
      </text>
    </comment>
    <comment ref="AA23" authorId="0" shapeId="0" xr:uid="{1EF72737-64D6-43DD-A77C-8DCD993AE7A2}">
      <text>
        <r>
          <rPr>
            <sz val="10"/>
            <rFont val="Arial"/>
            <family val="2"/>
          </rPr>
          <t>Enter here a variation in the monthly salary different from the calculated amount above.</t>
        </r>
      </text>
    </comment>
    <comment ref="AB23" authorId="0" shapeId="0" xr:uid="{E86B134B-63F1-4F47-907C-9F53685AD86A}">
      <text>
        <r>
          <rPr>
            <sz val="10"/>
            <rFont val="Arial"/>
            <family val="2"/>
          </rPr>
          <t>Enter here a variation in the monthly salary different from the calculated amount above.</t>
        </r>
      </text>
    </comment>
    <comment ref="AC23" authorId="0" shapeId="0" xr:uid="{4931B859-4DFF-41AF-913C-2EC9D6AF02D3}">
      <text>
        <r>
          <rPr>
            <sz val="10"/>
            <rFont val="Arial"/>
            <family val="2"/>
          </rPr>
          <t>Enter here a variation in the monthly salary different from the calculated amount above.</t>
        </r>
      </text>
    </comment>
    <comment ref="AD23" authorId="0" shapeId="0" xr:uid="{1A7DCD0F-0744-4CA1-9AC4-72501C9D71AB}">
      <text>
        <r>
          <rPr>
            <sz val="10"/>
            <rFont val="Arial"/>
            <family val="2"/>
          </rPr>
          <t>Enter here a variation in the monthly salary different from the calculated amount above.</t>
        </r>
      </text>
    </comment>
    <comment ref="F30" authorId="0" shapeId="0" xr:uid="{05D7C11D-8B90-42D6-A1CA-6158E678A23B}">
      <text>
        <r>
          <rPr>
            <sz val="10"/>
            <rFont val="Arial"/>
            <family val="2"/>
          </rPr>
          <t>Enter a 1 if this property is this employees home property</t>
        </r>
      </text>
    </comment>
    <comment ref="G30" authorId="0" shapeId="0" xr:uid="{268B06E7-665C-4CB0-89E5-F64AF0DD9399}">
      <text>
        <r>
          <rPr>
            <sz val="10"/>
            <rFont val="Arial"/>
            <family val="2"/>
          </rPr>
          <t>For full time employees enter 1.0. If this employee is share between properties enter the proration factor i.e. work 3 days a week on this property enter 0.6.</t>
        </r>
      </text>
    </comment>
    <comment ref="H30" authorId="0" shapeId="0" xr:uid="{7C3DC576-1F83-4FF0-8FF7-12B5554E2460}">
      <text>
        <r>
          <rPr>
            <sz val="10"/>
            <rFont val="Arial"/>
            <family val="2"/>
          </rPr>
          <t>Enter the number of Instructor Lead trainings this employee will attend.</t>
        </r>
      </text>
    </comment>
    <comment ref="I30" authorId="3" shapeId="0" xr:uid="{126DAA04-6944-4F41-8EDD-B0EDBDB8F0C8}">
      <text>
        <r>
          <rPr>
            <sz val="10"/>
            <rFont val="Arial"/>
            <family val="2"/>
          </rPr>
          <t>Enter the monthly amount to be reimbursed.
This will be added into salary.</t>
        </r>
      </text>
    </comment>
    <comment ref="R30" authorId="0" shapeId="0" xr:uid="{7CE09C6D-3442-4795-94AF-770882BB4254}">
      <text>
        <r>
          <rPr>
            <sz val="10"/>
            <rFont val="Arial"/>
            <family val="2"/>
          </rPr>
          <t>If you want to include vacation in the budget, enter the number of weeks of vacation that will accrue for the year.  Consult with your client before budgeting vacation.</t>
        </r>
      </text>
    </comment>
    <comment ref="S31" authorId="0" shapeId="0" xr:uid="{7C205674-9579-4740-938E-E276D76447B7}">
      <text>
        <r>
          <rPr>
            <sz val="10"/>
            <rFont val="Arial"/>
            <family val="2"/>
          </rPr>
          <t>Enter here a variation in the monthly salary different from the calculated amount above.</t>
        </r>
      </text>
    </comment>
    <comment ref="T31" authorId="0" shapeId="0" xr:uid="{2CC20526-B012-44B6-8588-C2447B9D3630}">
      <text>
        <r>
          <rPr>
            <sz val="10"/>
            <rFont val="Arial"/>
            <family val="2"/>
          </rPr>
          <t>Enter here a variation in the monthly salary different from the calculated amount above.</t>
        </r>
      </text>
    </comment>
    <comment ref="U31" authorId="0" shapeId="0" xr:uid="{DF9F3454-E964-4949-A155-4C5E45B4739F}">
      <text>
        <r>
          <rPr>
            <sz val="10"/>
            <rFont val="Arial"/>
            <family val="2"/>
          </rPr>
          <t>Enter here a variation in the monthly salary different from the calculated amount above.</t>
        </r>
      </text>
    </comment>
    <comment ref="V31" authorId="0" shapeId="0" xr:uid="{D0C87E14-2746-4B40-97CF-ECFBDBBCA36C}">
      <text>
        <r>
          <rPr>
            <sz val="10"/>
            <rFont val="Arial"/>
            <family val="2"/>
          </rPr>
          <t>Enter here a variation in the monthly salary different from the calculated amount above.</t>
        </r>
      </text>
    </comment>
    <comment ref="W31" authorId="0" shapeId="0" xr:uid="{3D06BF31-AA3B-4EEB-A68A-64C21EC3A9B9}">
      <text>
        <r>
          <rPr>
            <sz val="10"/>
            <rFont val="Arial"/>
            <family val="2"/>
          </rPr>
          <t>Enter here a variation in the monthly salary different from the calculated amount above.</t>
        </r>
      </text>
    </comment>
    <comment ref="X31" authorId="0" shapeId="0" xr:uid="{028837D8-E7C1-4E0D-8CF0-9C789E030B05}">
      <text>
        <r>
          <rPr>
            <sz val="10"/>
            <rFont val="Arial"/>
            <family val="2"/>
          </rPr>
          <t>Enter here a variation in the monthly salary different from the calculated amount above.</t>
        </r>
      </text>
    </comment>
    <comment ref="Y31" authorId="0" shapeId="0" xr:uid="{99CED25A-93BD-467F-9A95-2C823FB29116}">
      <text>
        <r>
          <rPr>
            <sz val="10"/>
            <rFont val="Arial"/>
            <family val="2"/>
          </rPr>
          <t>Enter here a variation in the monthly salary different from the calculated amount above.</t>
        </r>
      </text>
    </comment>
    <comment ref="Z31" authorId="0" shapeId="0" xr:uid="{20C6BD5C-5B5A-4356-995C-05F75101E45E}">
      <text>
        <r>
          <rPr>
            <sz val="10"/>
            <rFont val="Arial"/>
            <family val="2"/>
          </rPr>
          <t>Enter here a variation in the monthly salary different from the calculated amount above.</t>
        </r>
      </text>
    </comment>
    <comment ref="AA31" authorId="0" shapeId="0" xr:uid="{E50E070C-B2A4-407B-A9DA-ACA1558346AA}">
      <text>
        <r>
          <rPr>
            <sz val="10"/>
            <rFont val="Arial"/>
            <family val="2"/>
          </rPr>
          <t>Enter here a variation in the monthly salary different from the calculated amount above.</t>
        </r>
      </text>
    </comment>
    <comment ref="AB31" authorId="0" shapeId="0" xr:uid="{2E7DB93A-88FD-4786-9FE3-2BF87ADE7015}">
      <text>
        <r>
          <rPr>
            <sz val="10"/>
            <rFont val="Arial"/>
            <family val="2"/>
          </rPr>
          <t>Enter here a variation in the monthly salary different from the calculated amount above.</t>
        </r>
      </text>
    </comment>
    <comment ref="AC31" authorId="0" shapeId="0" xr:uid="{1D3436E3-CB6E-46C0-8006-19651B3F41E1}">
      <text>
        <r>
          <rPr>
            <sz val="10"/>
            <rFont val="Arial"/>
            <family val="2"/>
          </rPr>
          <t>Enter here a variation in the monthly salary different from the calculated amount above.</t>
        </r>
      </text>
    </comment>
    <comment ref="AD31" authorId="0" shapeId="0" xr:uid="{1988804C-A26D-4A01-8F25-F20DB26CF39F}">
      <text>
        <r>
          <rPr>
            <sz val="10"/>
            <rFont val="Arial"/>
            <family val="2"/>
          </rPr>
          <t>Enter here a variation in the monthly salary different from the calculated amount above.</t>
        </r>
      </text>
    </comment>
    <comment ref="F38" authorId="0" shapeId="0" xr:uid="{AEFF162F-9F90-4F1A-9838-56F9BBD4C0BC}">
      <text>
        <r>
          <rPr>
            <sz val="10"/>
            <rFont val="Arial"/>
            <family val="2"/>
          </rPr>
          <t>Enter a 1 if this property is this employees home property</t>
        </r>
      </text>
    </comment>
    <comment ref="G38" authorId="0" shapeId="0" xr:uid="{CBE7A999-9169-4E4F-A9BF-08232D333C2B}">
      <text>
        <r>
          <rPr>
            <sz val="10"/>
            <rFont val="Arial"/>
            <family val="2"/>
          </rPr>
          <t>For full time employees enter 1.0. If this employee is share between properties enter the proration factor i.e. work 3 days a week on this property enter 0.6.</t>
        </r>
      </text>
    </comment>
    <comment ref="H38" authorId="0" shapeId="0" xr:uid="{2BC08D60-049C-4F3D-A7A0-1EE09545F63F}">
      <text>
        <r>
          <rPr>
            <sz val="10"/>
            <rFont val="Arial"/>
            <family val="2"/>
          </rPr>
          <t>Enter the number of Instructor Lead trainings this employee will attend.</t>
        </r>
      </text>
    </comment>
    <comment ref="I38" authorId="3" shapeId="0" xr:uid="{EF04FDDB-6BAD-4BC0-A897-17838602835C}">
      <text>
        <r>
          <rPr>
            <sz val="10"/>
            <rFont val="Arial"/>
            <family val="2"/>
          </rPr>
          <t>Enter the monthly amount to be reimbursed.
This will be added into salary.</t>
        </r>
      </text>
    </comment>
    <comment ref="R38" authorId="0" shapeId="0" xr:uid="{05F9E1A5-CDF2-4E4B-AE5F-07E3936C42C0}">
      <text>
        <r>
          <rPr>
            <sz val="10"/>
            <rFont val="Arial"/>
            <family val="2"/>
          </rPr>
          <t>If you want to include vacation in the budget, enter the number of weeks of vacation that will accrue for the year.  Consult with your client before budgeting vacation.</t>
        </r>
      </text>
    </comment>
    <comment ref="S39" authorId="0" shapeId="0" xr:uid="{BBD1F9CD-3287-43CF-8EAB-774B430EB663}">
      <text>
        <r>
          <rPr>
            <sz val="10"/>
            <rFont val="Arial"/>
            <family val="2"/>
          </rPr>
          <t>Enter here a variation in the monthly salary different from the calculated amount above.</t>
        </r>
      </text>
    </comment>
    <comment ref="T39" authorId="0" shapeId="0" xr:uid="{D3CDA4D6-BBA1-4645-80C7-45C5E60A5D89}">
      <text>
        <r>
          <rPr>
            <sz val="10"/>
            <rFont val="Arial"/>
            <family val="2"/>
          </rPr>
          <t>Enter here a variation in the monthly salary different from the calculated amount above.</t>
        </r>
      </text>
    </comment>
    <comment ref="U39" authorId="0" shapeId="0" xr:uid="{3FD15A10-39B5-449E-89A7-AD3AF9B0906F}">
      <text>
        <r>
          <rPr>
            <sz val="10"/>
            <rFont val="Arial"/>
            <family val="2"/>
          </rPr>
          <t>Enter here a variation in the monthly salary different from the calculated amount above.</t>
        </r>
      </text>
    </comment>
    <comment ref="V39" authorId="0" shapeId="0" xr:uid="{5F2DB8B1-04CD-4A70-82FF-56CAB914BE4D}">
      <text>
        <r>
          <rPr>
            <sz val="10"/>
            <rFont val="Arial"/>
            <family val="2"/>
          </rPr>
          <t>Enter here a variation in the monthly salary different from the calculated amount above.</t>
        </r>
      </text>
    </comment>
    <comment ref="W39" authorId="0" shapeId="0" xr:uid="{ACE5B101-2864-4B56-AECD-577924089483}">
      <text>
        <r>
          <rPr>
            <sz val="10"/>
            <rFont val="Arial"/>
            <family val="2"/>
          </rPr>
          <t>Enter here a variation in the monthly salary different from the calculated amount above.</t>
        </r>
      </text>
    </comment>
    <comment ref="X39" authorId="0" shapeId="0" xr:uid="{D1EF6A18-6F8F-4887-8217-ECB43EC58209}">
      <text>
        <r>
          <rPr>
            <sz val="10"/>
            <rFont val="Arial"/>
            <family val="2"/>
          </rPr>
          <t>Enter here a variation in the monthly salary different from the calculated amount above.</t>
        </r>
      </text>
    </comment>
    <comment ref="Y39" authorId="0" shapeId="0" xr:uid="{B90DC55B-F106-4F23-85C7-0AEFC96FDB0B}">
      <text>
        <r>
          <rPr>
            <sz val="10"/>
            <rFont val="Arial"/>
            <family val="2"/>
          </rPr>
          <t>Enter here a variation in the monthly salary different from the calculated amount above.</t>
        </r>
      </text>
    </comment>
    <comment ref="Z39" authorId="0" shapeId="0" xr:uid="{5FDBB9EF-FE7A-42EB-BD87-9A172AF49233}">
      <text>
        <r>
          <rPr>
            <sz val="10"/>
            <rFont val="Arial"/>
            <family val="2"/>
          </rPr>
          <t>Enter here a variation in the monthly salary different from the calculated amount above.</t>
        </r>
      </text>
    </comment>
    <comment ref="AA39" authorId="0" shapeId="0" xr:uid="{B01E97DA-72BF-48F5-A9EB-8946CE4291EE}">
      <text>
        <r>
          <rPr>
            <sz val="10"/>
            <rFont val="Arial"/>
            <family val="2"/>
          </rPr>
          <t>Enter here a variation in the monthly salary different from the calculated amount above.</t>
        </r>
      </text>
    </comment>
    <comment ref="AB39" authorId="0" shapeId="0" xr:uid="{25FC4D01-56C1-44F1-B876-B3E0DE4DBABA}">
      <text>
        <r>
          <rPr>
            <sz val="10"/>
            <rFont val="Arial"/>
            <family val="2"/>
          </rPr>
          <t>Enter here a variation in the monthly salary different from the calculated amount above.</t>
        </r>
      </text>
    </comment>
    <comment ref="AC39" authorId="0" shapeId="0" xr:uid="{B1F6053E-F92F-4F5B-A40B-4C73D61160A3}">
      <text>
        <r>
          <rPr>
            <sz val="10"/>
            <rFont val="Arial"/>
            <family val="2"/>
          </rPr>
          <t>Enter here a variation in the monthly salary different from the calculated amount above.</t>
        </r>
      </text>
    </comment>
    <comment ref="AD39" authorId="0" shapeId="0" xr:uid="{D4EEE4DD-9CBB-4360-B848-56A52A000FBD}">
      <text>
        <r>
          <rPr>
            <sz val="10"/>
            <rFont val="Arial"/>
            <family val="2"/>
          </rPr>
          <t>Enter here a variation in the monthly salary different from the calculated amount above.</t>
        </r>
      </text>
    </comment>
    <comment ref="F46" authorId="0" shapeId="0" xr:uid="{8A430567-B97B-4515-BA15-DE8863F80385}">
      <text>
        <r>
          <rPr>
            <sz val="10"/>
            <rFont val="Arial"/>
            <family val="2"/>
          </rPr>
          <t>Enter a 1 if this property is this employees home property</t>
        </r>
      </text>
    </comment>
    <comment ref="G46" authorId="0" shapeId="0" xr:uid="{2D67359D-9275-4820-BE21-3D6A037546A9}">
      <text>
        <r>
          <rPr>
            <sz val="10"/>
            <rFont val="Arial"/>
            <family val="2"/>
          </rPr>
          <t>For full time employees enter 1.0. If this employee is share between properties enter the proration factor i.e. work 3 days a week on this property enter 0.6.</t>
        </r>
      </text>
    </comment>
    <comment ref="H46" authorId="0" shapeId="0" xr:uid="{686DF10B-4F44-4063-A720-15211415F7A3}">
      <text>
        <r>
          <rPr>
            <sz val="10"/>
            <rFont val="Arial"/>
            <family val="2"/>
          </rPr>
          <t>Enter the number of Instructor Lead trainings this employee will attend.</t>
        </r>
      </text>
    </comment>
    <comment ref="I46" authorId="3" shapeId="0" xr:uid="{5B1A4D32-36B4-45BD-A191-546BC718338A}">
      <text>
        <r>
          <rPr>
            <sz val="10"/>
            <rFont val="Arial"/>
            <family val="2"/>
          </rPr>
          <t>Enter the monthly amount to be reimbursed.
This will be added into salary.</t>
        </r>
      </text>
    </comment>
    <comment ref="R46" authorId="0" shapeId="0" xr:uid="{67D18223-52C4-4583-86AA-3B01361CBA07}">
      <text>
        <r>
          <rPr>
            <sz val="10"/>
            <rFont val="Arial"/>
            <family val="2"/>
          </rPr>
          <t>If you want to include vacation in the budget, enter the number of weeks of vacation that will accrue for the year.  Consult with your client before budgeting vacation.</t>
        </r>
      </text>
    </comment>
    <comment ref="S47" authorId="0" shapeId="0" xr:uid="{B9E05F9B-071D-452C-8202-7F2910803F77}">
      <text>
        <r>
          <rPr>
            <sz val="10"/>
            <rFont val="Arial"/>
            <family val="2"/>
          </rPr>
          <t>Enter here a variation in the monthly salary different from the calculated amount above.</t>
        </r>
      </text>
    </comment>
    <comment ref="T47" authorId="0" shapeId="0" xr:uid="{3354F403-C880-46DB-9A24-FDA958FD3B65}">
      <text>
        <r>
          <rPr>
            <sz val="10"/>
            <rFont val="Arial"/>
            <family val="2"/>
          </rPr>
          <t>Enter here a variation in the monthly salary different from the calculated amount above.</t>
        </r>
      </text>
    </comment>
    <comment ref="U47" authorId="0" shapeId="0" xr:uid="{487C5756-E75F-4194-8CCD-C377C43D4AFA}">
      <text>
        <r>
          <rPr>
            <sz val="10"/>
            <rFont val="Arial"/>
            <family val="2"/>
          </rPr>
          <t>Enter here a variation in the monthly salary different from the calculated amount above.</t>
        </r>
      </text>
    </comment>
    <comment ref="V47" authorId="0" shapeId="0" xr:uid="{703B288E-A979-4AAC-AD67-C87DA43B993D}">
      <text>
        <r>
          <rPr>
            <sz val="10"/>
            <rFont val="Arial"/>
            <family val="2"/>
          </rPr>
          <t>Enter here a variation in the monthly salary different from the calculated amount above.</t>
        </r>
      </text>
    </comment>
    <comment ref="W47" authorId="0" shapeId="0" xr:uid="{9725A415-4639-4990-BB6D-69D6F028AF90}">
      <text>
        <r>
          <rPr>
            <sz val="10"/>
            <rFont val="Arial"/>
            <family val="2"/>
          </rPr>
          <t>Enter here a variation in the monthly salary different from the calculated amount above.</t>
        </r>
      </text>
    </comment>
    <comment ref="X47" authorId="0" shapeId="0" xr:uid="{BF0A1A48-2CB6-413F-A67E-7B1250D81E26}">
      <text>
        <r>
          <rPr>
            <sz val="10"/>
            <rFont val="Arial"/>
            <family val="2"/>
          </rPr>
          <t>Enter here a variation in the monthly salary different from the calculated amount above.</t>
        </r>
      </text>
    </comment>
    <comment ref="Y47" authorId="0" shapeId="0" xr:uid="{01EC1E47-51D6-4F66-A2D1-B4E867130802}">
      <text>
        <r>
          <rPr>
            <sz val="10"/>
            <rFont val="Arial"/>
            <family val="2"/>
          </rPr>
          <t>Enter here a variation in the monthly salary different from the calculated amount above.</t>
        </r>
      </text>
    </comment>
    <comment ref="Z47" authorId="0" shapeId="0" xr:uid="{E7CFFDB4-CC16-43DC-8F78-336834B511CB}">
      <text>
        <r>
          <rPr>
            <sz val="10"/>
            <rFont val="Arial"/>
            <family val="2"/>
          </rPr>
          <t>Enter here a variation in the monthly salary different from the calculated amount above.</t>
        </r>
      </text>
    </comment>
    <comment ref="AA47" authorId="0" shapeId="0" xr:uid="{2585DEF9-DFDB-4528-A4FA-9858573C77DF}">
      <text>
        <r>
          <rPr>
            <sz val="10"/>
            <rFont val="Arial"/>
            <family val="2"/>
          </rPr>
          <t>Enter here a variation in the monthly salary different from the calculated amount above.</t>
        </r>
      </text>
    </comment>
    <comment ref="AB47" authorId="0" shapeId="0" xr:uid="{4444426D-AD6C-4DDD-A61C-F567B1F10B51}">
      <text>
        <r>
          <rPr>
            <sz val="10"/>
            <rFont val="Arial"/>
            <family val="2"/>
          </rPr>
          <t>Enter here a variation in the monthly salary different from the calculated amount above.</t>
        </r>
      </text>
    </comment>
    <comment ref="AC47" authorId="0" shapeId="0" xr:uid="{1B666782-1FAD-4185-81B5-E58886AE87E5}">
      <text>
        <r>
          <rPr>
            <sz val="10"/>
            <rFont val="Arial"/>
            <family val="2"/>
          </rPr>
          <t>Enter here a variation in the monthly salary different from the calculated amount above.</t>
        </r>
      </text>
    </comment>
    <comment ref="AD47" authorId="0" shapeId="0" xr:uid="{F7AF38D6-1674-438A-860D-535E1CAEAEDE}">
      <text>
        <r>
          <rPr>
            <sz val="10"/>
            <rFont val="Arial"/>
            <family val="2"/>
          </rPr>
          <t>Enter here a variation in the monthly salary different from the calculated amount above.</t>
        </r>
      </text>
    </comment>
    <comment ref="F54" authorId="0" shapeId="0" xr:uid="{72E6964E-8100-44A9-9174-52F17B705156}">
      <text>
        <r>
          <rPr>
            <sz val="10"/>
            <rFont val="Arial"/>
            <family val="2"/>
          </rPr>
          <t>Enter a 1 if this property is this employees home property</t>
        </r>
      </text>
    </comment>
    <comment ref="G54" authorId="0" shapeId="0" xr:uid="{8D154E05-9F68-4389-8BDB-2BD0EF23E4D7}">
      <text>
        <r>
          <rPr>
            <sz val="10"/>
            <rFont val="Arial"/>
            <family val="2"/>
          </rPr>
          <t>For full time employees enter 1.0. If this employee is share between properties enter the proration factor i.e. work 3 days a week on this property enter 0.6.</t>
        </r>
      </text>
    </comment>
    <comment ref="H54" authorId="0" shapeId="0" xr:uid="{71490B6C-059C-430C-8AF6-90014B0EC8D5}">
      <text>
        <r>
          <rPr>
            <sz val="10"/>
            <rFont val="Arial"/>
            <family val="2"/>
          </rPr>
          <t>Enter the number of Instructor Lead trainings this employee will attend.</t>
        </r>
      </text>
    </comment>
    <comment ref="I54" authorId="3" shapeId="0" xr:uid="{76A6EED7-887C-46C4-9457-233792534626}">
      <text>
        <r>
          <rPr>
            <sz val="10"/>
            <rFont val="Arial"/>
            <family val="2"/>
          </rPr>
          <t>Enter the monthly amount to be reimbursed.
This will be added into salary.</t>
        </r>
      </text>
    </comment>
    <comment ref="R54" authorId="0" shapeId="0" xr:uid="{1605E804-7546-4A72-976A-A7BCC8353079}">
      <text>
        <r>
          <rPr>
            <sz val="10"/>
            <rFont val="Arial"/>
            <family val="2"/>
          </rPr>
          <t>If you want to include vacation in the budget, enter the number of weeks of vacation that will accrue for the year.  Consult with your client before budgeting vacation.</t>
        </r>
      </text>
    </comment>
    <comment ref="S55" authorId="0" shapeId="0" xr:uid="{CB86A100-69D0-4B7B-8E3E-93D5F47E2D56}">
      <text>
        <r>
          <rPr>
            <sz val="10"/>
            <rFont val="Arial"/>
            <family val="2"/>
          </rPr>
          <t>Enter here a variation in the monthly salary different from the calculated amount above.</t>
        </r>
      </text>
    </comment>
    <comment ref="T55" authorId="0" shapeId="0" xr:uid="{C4DF3B61-4BDE-4509-998D-64E7E27BA7FC}">
      <text>
        <r>
          <rPr>
            <sz val="10"/>
            <rFont val="Arial"/>
            <family val="2"/>
          </rPr>
          <t>Enter here a variation in the monthly salary different from the calculated amount above.</t>
        </r>
      </text>
    </comment>
    <comment ref="U55" authorId="0" shapeId="0" xr:uid="{76221B26-F82E-4C09-85E4-C9D0E8AF7B5E}">
      <text>
        <r>
          <rPr>
            <sz val="10"/>
            <rFont val="Arial"/>
            <family val="2"/>
          </rPr>
          <t>Enter here a variation in the monthly salary different from the calculated amount above.</t>
        </r>
      </text>
    </comment>
    <comment ref="V55" authorId="0" shapeId="0" xr:uid="{01A84531-645A-40D1-AE40-87F7439632DB}">
      <text>
        <r>
          <rPr>
            <sz val="10"/>
            <rFont val="Arial"/>
            <family val="2"/>
          </rPr>
          <t>Enter here a variation in the monthly salary different from the calculated amount above.</t>
        </r>
      </text>
    </comment>
    <comment ref="W55" authorId="0" shapeId="0" xr:uid="{8FE980A2-8545-48FC-9113-F83B7C9AD010}">
      <text>
        <r>
          <rPr>
            <sz val="10"/>
            <rFont val="Arial"/>
            <family val="2"/>
          </rPr>
          <t>Enter here a variation in the monthly salary different from the calculated amount above.</t>
        </r>
      </text>
    </comment>
    <comment ref="X55" authorId="0" shapeId="0" xr:uid="{2480BF3D-8850-477D-83A3-65415E49A4FA}">
      <text>
        <r>
          <rPr>
            <sz val="10"/>
            <rFont val="Arial"/>
            <family val="2"/>
          </rPr>
          <t>Enter here a variation in the monthly salary different from the calculated amount above.</t>
        </r>
      </text>
    </comment>
    <comment ref="Y55" authorId="0" shapeId="0" xr:uid="{C98620DE-512B-41C4-A081-9B2B5D4D6388}">
      <text>
        <r>
          <rPr>
            <sz val="10"/>
            <rFont val="Arial"/>
            <family val="2"/>
          </rPr>
          <t>Enter here a variation in the monthly salary different from the calculated amount above.</t>
        </r>
      </text>
    </comment>
    <comment ref="Z55" authorId="0" shapeId="0" xr:uid="{AA765A94-C861-4888-B514-5D5EF0E121E9}">
      <text>
        <r>
          <rPr>
            <sz val="10"/>
            <rFont val="Arial"/>
            <family val="2"/>
          </rPr>
          <t>Enter here a variation in the monthly salary different from the calculated amount above.</t>
        </r>
      </text>
    </comment>
    <comment ref="AA55" authorId="0" shapeId="0" xr:uid="{E3993FDD-DBE1-4C6A-87B2-3AC7AC7EEF78}">
      <text>
        <r>
          <rPr>
            <sz val="10"/>
            <rFont val="Arial"/>
            <family val="2"/>
          </rPr>
          <t>Enter here a variation in the monthly salary different from the calculated amount above.</t>
        </r>
      </text>
    </comment>
    <comment ref="AB55" authorId="0" shapeId="0" xr:uid="{C52F5F91-F416-44B7-9223-CCB24A689B46}">
      <text>
        <r>
          <rPr>
            <sz val="10"/>
            <rFont val="Arial"/>
            <family val="2"/>
          </rPr>
          <t>Enter here a variation in the monthly salary different from the calculated amount above.</t>
        </r>
      </text>
    </comment>
    <comment ref="AC55" authorId="0" shapeId="0" xr:uid="{8EFFE372-F356-4E56-BB53-9205CE831F70}">
      <text>
        <r>
          <rPr>
            <sz val="10"/>
            <rFont val="Arial"/>
            <family val="2"/>
          </rPr>
          <t>Enter here a variation in the monthly salary different from the calculated amount above.</t>
        </r>
      </text>
    </comment>
    <comment ref="AD55" authorId="0" shapeId="0" xr:uid="{BF3F3628-DAA3-48E9-82DF-A942792B7678}">
      <text>
        <r>
          <rPr>
            <sz val="10"/>
            <rFont val="Arial"/>
            <family val="2"/>
          </rPr>
          <t>Enter here a variation in the monthly salary different from the calculated amount above.</t>
        </r>
      </text>
    </comment>
    <comment ref="F62" authorId="0" shapeId="0" xr:uid="{4952D0DB-8AF3-4089-9F02-CEB9A37C94EA}">
      <text>
        <r>
          <rPr>
            <sz val="10"/>
            <rFont val="Arial"/>
            <family val="2"/>
          </rPr>
          <t>Enter a 1 if this property is this employees home property</t>
        </r>
      </text>
    </comment>
    <comment ref="G62" authorId="0" shapeId="0" xr:uid="{1F45C7CE-8AFD-46BB-9835-F4BA3150DB84}">
      <text>
        <r>
          <rPr>
            <sz val="10"/>
            <rFont val="Arial"/>
            <family val="2"/>
          </rPr>
          <t>For full time employees enter 1.0. If this employee is share between properties enter the proration factor i.e. work 3 days a week on this property enter 0.6.</t>
        </r>
      </text>
    </comment>
    <comment ref="H62" authorId="0" shapeId="0" xr:uid="{6A20C488-1F36-4075-BC5E-7237050B74C0}">
      <text>
        <r>
          <rPr>
            <sz val="10"/>
            <rFont val="Arial"/>
            <family val="2"/>
          </rPr>
          <t>Enter the number of Instructor Lead trainings this employee will attend.</t>
        </r>
      </text>
    </comment>
    <comment ref="I62" authorId="3" shapeId="0" xr:uid="{5428E2B9-F285-4E2F-B335-7258B51891FE}">
      <text>
        <r>
          <rPr>
            <sz val="10"/>
            <rFont val="Arial"/>
            <family val="2"/>
          </rPr>
          <t>Enter the monthly amount to be reimbursed.
This will be added into salary.</t>
        </r>
      </text>
    </comment>
    <comment ref="R62" authorId="0" shapeId="0" xr:uid="{9C7C7BD6-C83C-48AD-8352-94458014AC8A}">
      <text>
        <r>
          <rPr>
            <sz val="10"/>
            <rFont val="Arial"/>
            <family val="2"/>
          </rPr>
          <t>If you want to include vacation in the budget, enter the number of weeks of vacation that will accrue for the year.  Consult with your client before budgeting vacation.</t>
        </r>
      </text>
    </comment>
    <comment ref="S63" authorId="0" shapeId="0" xr:uid="{89D04FB3-83AD-4F90-8EB8-18AF2052C52C}">
      <text>
        <r>
          <rPr>
            <sz val="10"/>
            <rFont val="Arial"/>
            <family val="2"/>
          </rPr>
          <t>Enter here a variation in the monthly salary different from the calculated amount above.</t>
        </r>
      </text>
    </comment>
    <comment ref="T63" authorId="0" shapeId="0" xr:uid="{A00A7CDA-D68E-46A1-A9D0-6C0428A6B02C}">
      <text>
        <r>
          <rPr>
            <sz val="10"/>
            <rFont val="Arial"/>
            <family val="2"/>
          </rPr>
          <t>Enter here a variation in the monthly salary different from the calculated amount above.</t>
        </r>
      </text>
    </comment>
    <comment ref="U63" authorId="0" shapeId="0" xr:uid="{74FEE1D4-9A3C-46D2-8E11-93EB9A37E5CC}">
      <text>
        <r>
          <rPr>
            <sz val="10"/>
            <rFont val="Arial"/>
            <family val="2"/>
          </rPr>
          <t>Enter here a variation in the monthly salary different from the calculated amount above.</t>
        </r>
      </text>
    </comment>
    <comment ref="V63" authorId="0" shapeId="0" xr:uid="{B15BA4F8-B08D-478C-ACA0-4DC81A05ECC7}">
      <text>
        <r>
          <rPr>
            <sz val="10"/>
            <rFont val="Arial"/>
            <family val="2"/>
          </rPr>
          <t>Enter here a variation in the monthly salary different from the calculated amount above.</t>
        </r>
      </text>
    </comment>
    <comment ref="W63" authorId="0" shapeId="0" xr:uid="{5D43A2EE-22B7-41F4-8B03-E51DAF55BAEB}">
      <text>
        <r>
          <rPr>
            <sz val="10"/>
            <rFont val="Arial"/>
            <family val="2"/>
          </rPr>
          <t>Enter here a variation in the monthly salary different from the calculated amount above.</t>
        </r>
      </text>
    </comment>
    <comment ref="X63" authorId="0" shapeId="0" xr:uid="{102D94FD-4758-4A2B-A729-318D7C8C2F44}">
      <text>
        <r>
          <rPr>
            <sz val="10"/>
            <rFont val="Arial"/>
            <family val="2"/>
          </rPr>
          <t>Enter here a variation in the monthly salary different from the calculated amount above.</t>
        </r>
      </text>
    </comment>
    <comment ref="Y63" authorId="0" shapeId="0" xr:uid="{D8802F79-E010-4507-B871-6840E166B314}">
      <text>
        <r>
          <rPr>
            <sz val="10"/>
            <rFont val="Arial"/>
            <family val="2"/>
          </rPr>
          <t>Enter here a variation in the monthly salary different from the calculated amount above.</t>
        </r>
      </text>
    </comment>
    <comment ref="Z63" authorId="0" shapeId="0" xr:uid="{8BF4B5B1-BFD8-4B2A-9E04-A8319DECC063}">
      <text>
        <r>
          <rPr>
            <sz val="10"/>
            <rFont val="Arial"/>
            <family val="2"/>
          </rPr>
          <t>Enter here a variation in the monthly salary different from the calculated amount above.</t>
        </r>
      </text>
    </comment>
    <comment ref="AA63" authorId="0" shapeId="0" xr:uid="{C11299AD-83A8-466D-A498-6FD975A88A14}">
      <text>
        <r>
          <rPr>
            <sz val="10"/>
            <rFont val="Arial"/>
            <family val="2"/>
          </rPr>
          <t>Enter here a variation in the monthly salary different from the calculated amount above.</t>
        </r>
      </text>
    </comment>
    <comment ref="AB63" authorId="0" shapeId="0" xr:uid="{E2900E71-B51D-4BE4-ACCA-F6B6CCFCDDCA}">
      <text>
        <r>
          <rPr>
            <sz val="10"/>
            <rFont val="Arial"/>
            <family val="2"/>
          </rPr>
          <t>Enter here a variation in the monthly salary different from the calculated amount above.</t>
        </r>
      </text>
    </comment>
    <comment ref="AC63" authorId="0" shapeId="0" xr:uid="{B4458D1B-3B59-43F7-B4B4-FC17330DCB3C}">
      <text>
        <r>
          <rPr>
            <sz val="10"/>
            <rFont val="Arial"/>
            <family val="2"/>
          </rPr>
          <t>Enter here a variation in the monthly salary different from the calculated amount above.</t>
        </r>
      </text>
    </comment>
    <comment ref="AD63" authorId="0" shapeId="0" xr:uid="{398AB389-2326-4FB6-983A-2EA12611BB66}">
      <text>
        <r>
          <rPr>
            <sz val="10"/>
            <rFont val="Arial"/>
            <family val="2"/>
          </rPr>
          <t>Enter here a variation in the monthly salary different from the calculated amount above.</t>
        </r>
      </text>
    </comment>
    <comment ref="F70" authorId="0" shapeId="0" xr:uid="{942A0658-2848-4962-AB82-2AE8D78D5FFE}">
      <text>
        <r>
          <rPr>
            <sz val="10"/>
            <rFont val="Arial"/>
            <family val="2"/>
          </rPr>
          <t>Enter a 1 if this property is this employees home property</t>
        </r>
      </text>
    </comment>
    <comment ref="G70" authorId="0" shapeId="0" xr:uid="{29FE8018-5176-460D-9499-A749230226A0}">
      <text>
        <r>
          <rPr>
            <sz val="10"/>
            <rFont val="Arial"/>
            <family val="2"/>
          </rPr>
          <t>For full time employees enter 1.0. If this employee is share between properties enter the proration factor i.e. work 3 days a week on this property enter 0.6.</t>
        </r>
      </text>
    </comment>
    <comment ref="H70" authorId="0" shapeId="0" xr:uid="{1E4DF486-E99B-4CCA-A9E7-E0596E781C9D}">
      <text>
        <r>
          <rPr>
            <sz val="10"/>
            <rFont val="Arial"/>
            <family val="2"/>
          </rPr>
          <t>Enter the number of Instructor Lead trainings this employee will attend.</t>
        </r>
      </text>
    </comment>
    <comment ref="I70" authorId="3" shapeId="0" xr:uid="{4977924C-89BE-430E-8978-4DCB809FD879}">
      <text>
        <r>
          <rPr>
            <sz val="10"/>
            <rFont val="Arial"/>
            <family val="2"/>
          </rPr>
          <t>Enter the monthly amount to be reimbursed.
This will be added into salary.</t>
        </r>
      </text>
    </comment>
    <comment ref="R70" authorId="0" shapeId="0" xr:uid="{ECE3CD07-E7A9-47CD-B5AB-3E54EB52DE34}">
      <text>
        <r>
          <rPr>
            <sz val="10"/>
            <rFont val="Arial"/>
            <family val="2"/>
          </rPr>
          <t>If you want to include vacation in the budget, enter the number of weeks of vacation that will accrue for the year.  Consult with your client before budgeting vacation.</t>
        </r>
      </text>
    </comment>
    <comment ref="S71" authorId="0" shapeId="0" xr:uid="{0805C039-C50C-4C3F-A188-1E36DC0CA8C2}">
      <text>
        <r>
          <rPr>
            <sz val="10"/>
            <rFont val="Arial"/>
            <family val="2"/>
          </rPr>
          <t>Enter here a variation in the monthly salary different from the calculated amount above.</t>
        </r>
      </text>
    </comment>
    <comment ref="T71" authorId="0" shapeId="0" xr:uid="{7BBFDC4C-62E1-429D-B1BF-DF6F0108DC22}">
      <text>
        <r>
          <rPr>
            <sz val="10"/>
            <rFont val="Arial"/>
            <family val="2"/>
          </rPr>
          <t>Enter here a variation in the monthly salary different from the calculated amount above.</t>
        </r>
      </text>
    </comment>
    <comment ref="U71" authorId="0" shapeId="0" xr:uid="{FA76BE76-DB27-44AF-8F34-8B9477E8C25E}">
      <text>
        <r>
          <rPr>
            <sz val="10"/>
            <rFont val="Arial"/>
            <family val="2"/>
          </rPr>
          <t>Enter here a variation in the monthly salary different from the calculated amount above.</t>
        </r>
      </text>
    </comment>
    <comment ref="V71" authorId="0" shapeId="0" xr:uid="{35D2FB13-5832-4E8D-AA5A-73882F031F64}">
      <text>
        <r>
          <rPr>
            <sz val="10"/>
            <rFont val="Arial"/>
            <family val="2"/>
          </rPr>
          <t>Enter here a variation in the monthly salary different from the calculated amount above.</t>
        </r>
      </text>
    </comment>
    <comment ref="W71" authorId="0" shapeId="0" xr:uid="{5B7D2E3B-D377-42B1-842F-FA4C656C02BE}">
      <text>
        <r>
          <rPr>
            <sz val="10"/>
            <rFont val="Arial"/>
            <family val="2"/>
          </rPr>
          <t>Enter here a variation in the monthly salary different from the calculated amount above.</t>
        </r>
      </text>
    </comment>
    <comment ref="X71" authorId="0" shapeId="0" xr:uid="{276136A5-F9D3-403B-AAB3-C3EA35D33C8D}">
      <text>
        <r>
          <rPr>
            <sz val="10"/>
            <rFont val="Arial"/>
            <family val="2"/>
          </rPr>
          <t>Enter here a variation in the monthly salary different from the calculated amount above.</t>
        </r>
      </text>
    </comment>
    <comment ref="Y71" authorId="0" shapeId="0" xr:uid="{53073510-1032-4B75-881E-B22E0E9FA6DB}">
      <text>
        <r>
          <rPr>
            <sz val="10"/>
            <rFont val="Arial"/>
            <family val="2"/>
          </rPr>
          <t>Enter here a variation in the monthly salary different from the calculated amount above.</t>
        </r>
      </text>
    </comment>
    <comment ref="Z71" authorId="0" shapeId="0" xr:uid="{0CE90F46-8DA0-44F2-9B09-9ADA25457B81}">
      <text>
        <r>
          <rPr>
            <sz val="10"/>
            <rFont val="Arial"/>
            <family val="2"/>
          </rPr>
          <t>Enter here a variation in the monthly salary different from the calculated amount above.</t>
        </r>
      </text>
    </comment>
    <comment ref="AA71" authorId="0" shapeId="0" xr:uid="{80181604-BF51-4049-BA01-28BC8280C805}">
      <text>
        <r>
          <rPr>
            <sz val="10"/>
            <rFont val="Arial"/>
            <family val="2"/>
          </rPr>
          <t>Enter here a variation in the monthly salary different from the calculated amount above.</t>
        </r>
      </text>
    </comment>
    <comment ref="AB71" authorId="0" shapeId="0" xr:uid="{38C2B8C3-F5ED-486B-B420-30933FE37503}">
      <text>
        <r>
          <rPr>
            <sz val="10"/>
            <rFont val="Arial"/>
            <family val="2"/>
          </rPr>
          <t>Enter here a variation in the monthly salary different from the calculated amount above.</t>
        </r>
      </text>
    </comment>
    <comment ref="AC71" authorId="0" shapeId="0" xr:uid="{10545416-436B-4FD3-A793-5CCEC85475B5}">
      <text>
        <r>
          <rPr>
            <sz val="10"/>
            <rFont val="Arial"/>
            <family val="2"/>
          </rPr>
          <t>Enter here a variation in the monthly salary different from the calculated amount above.</t>
        </r>
      </text>
    </comment>
    <comment ref="AD71" authorId="0" shapeId="0" xr:uid="{F6570E46-B16D-4740-AFE7-5010725FB682}">
      <text>
        <r>
          <rPr>
            <sz val="10"/>
            <rFont val="Arial"/>
            <family val="2"/>
          </rPr>
          <t>Enter here a variation in the monthly salary different from the calculated amount above.</t>
        </r>
      </text>
    </comment>
    <comment ref="F78" authorId="0" shapeId="0" xr:uid="{BD343FEA-6692-490B-B6A5-F58693044DC7}">
      <text>
        <r>
          <rPr>
            <sz val="10"/>
            <rFont val="Arial"/>
            <family val="2"/>
          </rPr>
          <t>Enter a 1 if this property is this employees home property</t>
        </r>
      </text>
    </comment>
    <comment ref="G78" authorId="0" shapeId="0" xr:uid="{C7628B5A-1BE0-4691-A3A0-A70798BA8D37}">
      <text>
        <r>
          <rPr>
            <sz val="10"/>
            <rFont val="Arial"/>
            <family val="2"/>
          </rPr>
          <t>For full time employees enter 1.0. If this employee is share between properties enter the proration factor i.e. work 3 days a week on this property enter 0.6.</t>
        </r>
      </text>
    </comment>
    <comment ref="H78" authorId="0" shapeId="0" xr:uid="{E0134620-37BC-420E-B78F-315EDF86B138}">
      <text>
        <r>
          <rPr>
            <sz val="10"/>
            <rFont val="Arial"/>
            <family val="2"/>
          </rPr>
          <t>Enter the number of Instructor Lead trainings this employee will attend.</t>
        </r>
      </text>
    </comment>
    <comment ref="I78" authorId="3" shapeId="0" xr:uid="{D369E6EC-303B-447C-8B5E-BD267FD9A926}">
      <text>
        <r>
          <rPr>
            <sz val="10"/>
            <rFont val="Arial"/>
            <family val="2"/>
          </rPr>
          <t>Enter the monthly amount to be reimbursed.
This will be added into salary.</t>
        </r>
      </text>
    </comment>
    <comment ref="R78" authorId="0" shapeId="0" xr:uid="{5CE61693-D82F-4DBB-ACA8-6115617195B9}">
      <text>
        <r>
          <rPr>
            <sz val="10"/>
            <rFont val="Arial"/>
            <family val="2"/>
          </rPr>
          <t>If you want to include vacation in the budget, enter the number of weeks of vacation that will accrue for the year.  Consult with your client before budgeting vacation.</t>
        </r>
      </text>
    </comment>
    <comment ref="S79" authorId="0" shapeId="0" xr:uid="{9D2228AB-1833-46C3-A9FB-C7EFB5299FA6}">
      <text>
        <r>
          <rPr>
            <sz val="10"/>
            <rFont val="Arial"/>
            <family val="2"/>
          </rPr>
          <t>Enter here a variation in the monthly salary different from the calculated amount above.</t>
        </r>
      </text>
    </comment>
    <comment ref="T79" authorId="0" shapeId="0" xr:uid="{9825BD7A-BD51-4729-9D1E-B2B4BCDF8E3C}">
      <text>
        <r>
          <rPr>
            <sz val="10"/>
            <rFont val="Arial"/>
            <family val="2"/>
          </rPr>
          <t>Enter here a variation in the monthly salary different from the calculated amount above.</t>
        </r>
      </text>
    </comment>
    <comment ref="U79" authorId="0" shapeId="0" xr:uid="{6427FD17-FC73-4042-834E-B38B36B90A63}">
      <text>
        <r>
          <rPr>
            <sz val="10"/>
            <rFont val="Arial"/>
            <family val="2"/>
          </rPr>
          <t>Enter here a variation in the monthly salary different from the calculated amount above.</t>
        </r>
      </text>
    </comment>
    <comment ref="V79" authorId="0" shapeId="0" xr:uid="{7F1E4EE6-25BA-4CC4-8067-707943DE0B3F}">
      <text>
        <r>
          <rPr>
            <sz val="10"/>
            <rFont val="Arial"/>
            <family val="2"/>
          </rPr>
          <t>Enter here a variation in the monthly salary different from the calculated amount above.</t>
        </r>
      </text>
    </comment>
    <comment ref="W79" authorId="0" shapeId="0" xr:uid="{B88C9CFA-EE4F-4494-8052-486F80C62236}">
      <text>
        <r>
          <rPr>
            <sz val="10"/>
            <rFont val="Arial"/>
            <family val="2"/>
          </rPr>
          <t>Enter here a variation in the monthly salary different from the calculated amount above.</t>
        </r>
      </text>
    </comment>
    <comment ref="X79" authorId="0" shapeId="0" xr:uid="{9E50D60C-DCFF-4332-AEB3-7BAE196509C5}">
      <text>
        <r>
          <rPr>
            <sz val="10"/>
            <rFont val="Arial"/>
            <family val="2"/>
          </rPr>
          <t>Enter here a variation in the monthly salary different from the calculated amount above.</t>
        </r>
      </text>
    </comment>
    <comment ref="Y79" authorId="0" shapeId="0" xr:uid="{66179C76-B68F-4C3F-AAFD-DF2118153DFC}">
      <text>
        <r>
          <rPr>
            <sz val="10"/>
            <rFont val="Arial"/>
            <family val="2"/>
          </rPr>
          <t>Enter here a variation in the monthly salary different from the calculated amount above.</t>
        </r>
      </text>
    </comment>
    <comment ref="Z79" authorId="0" shapeId="0" xr:uid="{F33A7809-3105-4014-AC62-0E4133BADC6F}">
      <text>
        <r>
          <rPr>
            <sz val="10"/>
            <rFont val="Arial"/>
            <family val="2"/>
          </rPr>
          <t>Enter here a variation in the monthly salary different from the calculated amount above.</t>
        </r>
      </text>
    </comment>
    <comment ref="AA79" authorId="0" shapeId="0" xr:uid="{FD81C6DB-9C25-4DA2-BF94-7F06BB4E2925}">
      <text>
        <r>
          <rPr>
            <sz val="10"/>
            <rFont val="Arial"/>
            <family val="2"/>
          </rPr>
          <t>Enter here a variation in the monthly salary different from the calculated amount above.</t>
        </r>
      </text>
    </comment>
    <comment ref="AB79" authorId="0" shapeId="0" xr:uid="{4D29D4A0-3779-4C78-B02F-C1451338AA02}">
      <text>
        <r>
          <rPr>
            <sz val="10"/>
            <rFont val="Arial"/>
            <family val="2"/>
          </rPr>
          <t>Enter here a variation in the monthly salary different from the calculated amount above.</t>
        </r>
      </text>
    </comment>
    <comment ref="AC79" authorId="0" shapeId="0" xr:uid="{295F6DB5-DE4A-4D9B-BC32-4EFED9041817}">
      <text>
        <r>
          <rPr>
            <sz val="10"/>
            <rFont val="Arial"/>
            <family val="2"/>
          </rPr>
          <t>Enter here a variation in the monthly salary different from the calculated amount above.</t>
        </r>
      </text>
    </comment>
    <comment ref="AD79" authorId="0" shapeId="0" xr:uid="{A76415AB-B716-4FFA-B1D9-5E8670A168EE}">
      <text>
        <r>
          <rPr>
            <sz val="10"/>
            <rFont val="Arial"/>
            <family val="2"/>
          </rPr>
          <t>Enter here a variation in the monthly salary different from the calculated amount above.</t>
        </r>
      </text>
    </comment>
    <comment ref="F86" authorId="0" shapeId="0" xr:uid="{EE660133-A2B0-43D0-8A4E-23DFE84AB419}">
      <text>
        <r>
          <rPr>
            <sz val="10"/>
            <rFont val="Arial"/>
            <family val="2"/>
          </rPr>
          <t>Enter a 1 if this property is this employees home property</t>
        </r>
      </text>
    </comment>
    <comment ref="G86" authorId="0" shapeId="0" xr:uid="{15DAB9A6-2816-4E68-8FC8-0EC7A72646EB}">
      <text>
        <r>
          <rPr>
            <sz val="10"/>
            <rFont val="Arial"/>
            <family val="2"/>
          </rPr>
          <t>For full time employees enter 1.0. If this employee is share between properties enter the proration factor i.e. work 3 days a week on this property enter 0.6.</t>
        </r>
      </text>
    </comment>
    <comment ref="H86" authorId="0" shapeId="0" xr:uid="{FE3FA196-6FF1-40B3-9455-D3D862B09975}">
      <text>
        <r>
          <rPr>
            <sz val="10"/>
            <rFont val="Arial"/>
            <family val="2"/>
          </rPr>
          <t>Enter the number of Instructor Lead trainings this employee will attend.</t>
        </r>
      </text>
    </comment>
    <comment ref="I86" authorId="3" shapeId="0" xr:uid="{C87F5F02-A5D3-4641-87D6-03870433B060}">
      <text>
        <r>
          <rPr>
            <sz val="10"/>
            <rFont val="Arial"/>
            <family val="2"/>
          </rPr>
          <t>Enter the monthly amount to be reimbursed.
This will be added into salary.</t>
        </r>
      </text>
    </comment>
    <comment ref="R86" authorId="0" shapeId="0" xr:uid="{C4CBDA3B-90DE-4831-8F3D-E9BC20264E02}">
      <text>
        <r>
          <rPr>
            <sz val="10"/>
            <rFont val="Arial"/>
            <family val="2"/>
          </rPr>
          <t>If you want to include vacation in the budget, enter the number of weeks of vacation that will accrue for the year.  Consult with your client before budgeting vacation.</t>
        </r>
      </text>
    </comment>
    <comment ref="S87" authorId="0" shapeId="0" xr:uid="{29C9488B-9D99-4B2A-992E-955B26BF3E4C}">
      <text>
        <r>
          <rPr>
            <sz val="10"/>
            <rFont val="Arial"/>
            <family val="2"/>
          </rPr>
          <t>Enter here a variation in the monthly salary different from the calculated amount above.</t>
        </r>
      </text>
    </comment>
    <comment ref="T87" authorId="0" shapeId="0" xr:uid="{3A7F69AC-826C-4F7A-B2EF-095518B743B1}">
      <text>
        <r>
          <rPr>
            <sz val="10"/>
            <rFont val="Arial"/>
            <family val="2"/>
          </rPr>
          <t>Enter here a variation in the monthly salary different from the calculated amount above.</t>
        </r>
      </text>
    </comment>
    <comment ref="U87" authorId="0" shapeId="0" xr:uid="{A20151EC-10D0-435C-8189-14D96553DFF2}">
      <text>
        <r>
          <rPr>
            <sz val="10"/>
            <rFont val="Arial"/>
            <family val="2"/>
          </rPr>
          <t>Enter here a variation in the monthly salary different from the calculated amount above.</t>
        </r>
      </text>
    </comment>
    <comment ref="V87" authorId="0" shapeId="0" xr:uid="{9A939760-2F34-46BB-8858-6814CA6CA095}">
      <text>
        <r>
          <rPr>
            <sz val="10"/>
            <rFont val="Arial"/>
            <family val="2"/>
          </rPr>
          <t>Enter here a variation in the monthly salary different from the calculated amount above.</t>
        </r>
      </text>
    </comment>
    <comment ref="W87" authorId="0" shapeId="0" xr:uid="{6ABC2CC7-5EDE-4B0C-BC51-0495A3876461}">
      <text>
        <r>
          <rPr>
            <sz val="10"/>
            <rFont val="Arial"/>
            <family val="2"/>
          </rPr>
          <t>Enter here a variation in the monthly salary different from the calculated amount above.</t>
        </r>
      </text>
    </comment>
    <comment ref="X87" authorId="0" shapeId="0" xr:uid="{10F704AA-68E3-4E7F-8FB9-4BF17B1C547E}">
      <text>
        <r>
          <rPr>
            <sz val="10"/>
            <rFont val="Arial"/>
            <family val="2"/>
          </rPr>
          <t>Enter here a variation in the monthly salary different from the calculated amount above.</t>
        </r>
      </text>
    </comment>
    <comment ref="Y87" authorId="0" shapeId="0" xr:uid="{13367B18-A4FA-41AC-8AD6-27B7A2BA9DEF}">
      <text>
        <r>
          <rPr>
            <sz val="10"/>
            <rFont val="Arial"/>
            <family val="2"/>
          </rPr>
          <t>Enter here a variation in the monthly salary different from the calculated amount above.</t>
        </r>
      </text>
    </comment>
    <comment ref="Z87" authorId="0" shapeId="0" xr:uid="{6D02FCF1-7C4F-4641-B36A-F45F56B916FE}">
      <text>
        <r>
          <rPr>
            <sz val="10"/>
            <rFont val="Arial"/>
            <family val="2"/>
          </rPr>
          <t>Enter here a variation in the monthly salary different from the calculated amount above.</t>
        </r>
      </text>
    </comment>
    <comment ref="AA87" authorId="0" shapeId="0" xr:uid="{6786CAAB-9E20-489D-B574-11BC59AB8703}">
      <text>
        <r>
          <rPr>
            <sz val="10"/>
            <rFont val="Arial"/>
            <family val="2"/>
          </rPr>
          <t>Enter here a variation in the monthly salary different from the calculated amount above.</t>
        </r>
      </text>
    </comment>
    <comment ref="AB87" authorId="0" shapeId="0" xr:uid="{3E7EBC68-00D0-451F-9406-B77284E2C9D1}">
      <text>
        <r>
          <rPr>
            <sz val="10"/>
            <rFont val="Arial"/>
            <family val="2"/>
          </rPr>
          <t>Enter here a variation in the monthly salary different from the calculated amount above.</t>
        </r>
      </text>
    </comment>
    <comment ref="AC87" authorId="0" shapeId="0" xr:uid="{5D335504-2287-4C0E-9663-0CEF20D7D3D9}">
      <text>
        <r>
          <rPr>
            <sz val="10"/>
            <rFont val="Arial"/>
            <family val="2"/>
          </rPr>
          <t>Enter here a variation in the monthly salary different from the calculated amount above.</t>
        </r>
      </text>
    </comment>
    <comment ref="AD87" authorId="0" shapeId="0" xr:uid="{D55C7DCD-1A40-4401-962D-BAE201DE7D9C}">
      <text>
        <r>
          <rPr>
            <sz val="10"/>
            <rFont val="Arial"/>
            <family val="2"/>
          </rPr>
          <t>Enter here a variation in the monthly salary different from the calculated amount above.</t>
        </r>
      </text>
    </comment>
    <comment ref="F94" authorId="0" shapeId="0" xr:uid="{51641A60-6A41-4DD8-B682-09352FD944E0}">
      <text>
        <r>
          <rPr>
            <sz val="10"/>
            <rFont val="Arial"/>
            <family val="2"/>
          </rPr>
          <t>Enter a 1 if this property is this employees home property</t>
        </r>
      </text>
    </comment>
    <comment ref="G94" authorId="0" shapeId="0" xr:uid="{A8EEF416-D14A-4211-8CBD-214A353C9C54}">
      <text>
        <r>
          <rPr>
            <sz val="10"/>
            <rFont val="Arial"/>
            <family val="2"/>
          </rPr>
          <t>For full time employees enter 1.0. If this employee is share between properties enter the proration factor i.e. work 3 days a week on this property enter 0.6.</t>
        </r>
      </text>
    </comment>
    <comment ref="H94" authorId="0" shapeId="0" xr:uid="{52E056E9-F6E2-4F9F-96C5-B6E2CF6E24C6}">
      <text>
        <r>
          <rPr>
            <sz val="10"/>
            <rFont val="Arial"/>
            <family val="2"/>
          </rPr>
          <t>Enter the number of Instructor Lead trainings this employee will attend.</t>
        </r>
      </text>
    </comment>
    <comment ref="I94" authorId="3" shapeId="0" xr:uid="{42866615-3672-47C3-A349-0C9500F231A5}">
      <text>
        <r>
          <rPr>
            <sz val="10"/>
            <rFont val="Arial"/>
            <family val="2"/>
          </rPr>
          <t>Enter the monthly amount to be reimbursed.
This will be added into salary.</t>
        </r>
      </text>
    </comment>
    <comment ref="R94" authorId="0" shapeId="0" xr:uid="{FDD79369-1A21-40AC-A9F0-303F9D5430A6}">
      <text>
        <r>
          <rPr>
            <sz val="10"/>
            <rFont val="Arial"/>
            <family val="2"/>
          </rPr>
          <t>If you want to include vacation in the budget, enter the number of weeks of vacation that will accrue for the year.  Consult with your client before budgeting vacation.</t>
        </r>
      </text>
    </comment>
    <comment ref="S95" authorId="0" shapeId="0" xr:uid="{E366B6F1-F4AD-4DBC-A9B0-372B91078386}">
      <text>
        <r>
          <rPr>
            <sz val="10"/>
            <rFont val="Arial"/>
            <family val="2"/>
          </rPr>
          <t>Enter here a variation in the monthly salary different from the calculated amount above.</t>
        </r>
      </text>
    </comment>
    <comment ref="T95" authorId="0" shapeId="0" xr:uid="{4EA079E4-ADF7-4CDC-A785-6207680FD203}">
      <text>
        <r>
          <rPr>
            <sz val="10"/>
            <rFont val="Arial"/>
            <family val="2"/>
          </rPr>
          <t>Enter here a variation in the monthly salary different from the calculated amount above.</t>
        </r>
      </text>
    </comment>
    <comment ref="U95" authorId="0" shapeId="0" xr:uid="{21ED72F1-7CFA-4809-87FA-E666E498ED2B}">
      <text>
        <r>
          <rPr>
            <sz val="10"/>
            <rFont val="Arial"/>
            <family val="2"/>
          </rPr>
          <t>Enter here a variation in the monthly salary different from the calculated amount above.</t>
        </r>
      </text>
    </comment>
    <comment ref="V95" authorId="0" shapeId="0" xr:uid="{62848BC1-8C46-4B38-B1EE-6EB53F1B9AC6}">
      <text>
        <r>
          <rPr>
            <sz val="10"/>
            <rFont val="Arial"/>
            <family val="2"/>
          </rPr>
          <t>Enter here a variation in the monthly salary different from the calculated amount above.</t>
        </r>
      </text>
    </comment>
    <comment ref="W95" authorId="0" shapeId="0" xr:uid="{AE4495E1-0B1F-4BE6-BEEC-1ED073A2AA04}">
      <text>
        <r>
          <rPr>
            <sz val="10"/>
            <rFont val="Arial"/>
            <family val="2"/>
          </rPr>
          <t>Enter here a variation in the monthly salary different from the calculated amount above.</t>
        </r>
      </text>
    </comment>
    <comment ref="X95" authorId="0" shapeId="0" xr:uid="{11B0CA77-CB54-4DBA-93A4-483BE6BE23F7}">
      <text>
        <r>
          <rPr>
            <sz val="10"/>
            <rFont val="Arial"/>
            <family val="2"/>
          </rPr>
          <t>Enter here a variation in the monthly salary different from the calculated amount above.</t>
        </r>
      </text>
    </comment>
    <comment ref="Y95" authorId="0" shapeId="0" xr:uid="{30DFCAA5-7821-4195-B5AE-C3E59C8891A3}">
      <text>
        <r>
          <rPr>
            <sz val="10"/>
            <rFont val="Arial"/>
            <family val="2"/>
          </rPr>
          <t>Enter here a variation in the monthly salary different from the calculated amount above.</t>
        </r>
      </text>
    </comment>
    <comment ref="Z95" authorId="0" shapeId="0" xr:uid="{AAE01CCC-45A5-469F-A23B-D36582D5D490}">
      <text>
        <r>
          <rPr>
            <sz val="10"/>
            <rFont val="Arial"/>
            <family val="2"/>
          </rPr>
          <t>Enter here a variation in the monthly salary different from the calculated amount above.</t>
        </r>
      </text>
    </comment>
    <comment ref="AA95" authorId="0" shapeId="0" xr:uid="{E4C3AAF9-8DA0-4124-ADE6-24A0B119ABC9}">
      <text>
        <r>
          <rPr>
            <sz val="10"/>
            <rFont val="Arial"/>
            <family val="2"/>
          </rPr>
          <t>Enter here a variation in the monthly salary different from the calculated amount above.</t>
        </r>
      </text>
    </comment>
    <comment ref="AB95" authorId="0" shapeId="0" xr:uid="{D5CE1B55-27D3-48BC-A43A-27BBA80995E7}">
      <text>
        <r>
          <rPr>
            <sz val="10"/>
            <rFont val="Arial"/>
            <family val="2"/>
          </rPr>
          <t>Enter here a variation in the monthly salary different from the calculated amount above.</t>
        </r>
      </text>
    </comment>
    <comment ref="AC95" authorId="0" shapeId="0" xr:uid="{2FD4D1E0-F6B8-415D-902E-E0CF9D94D057}">
      <text>
        <r>
          <rPr>
            <sz val="10"/>
            <rFont val="Arial"/>
            <family val="2"/>
          </rPr>
          <t>Enter here a variation in the monthly salary different from the calculated amount above.</t>
        </r>
      </text>
    </comment>
    <comment ref="AD95" authorId="0" shapeId="0" xr:uid="{021DBC1F-823C-4A22-882D-F02EE0B8B70E}">
      <text>
        <r>
          <rPr>
            <sz val="10"/>
            <rFont val="Arial"/>
            <family val="2"/>
          </rPr>
          <t>Enter here a variation in the monthly salary different from the calculated amount above.</t>
        </r>
      </text>
    </comment>
    <comment ref="F102" authorId="0" shapeId="0" xr:uid="{C9EC2001-A963-42DA-A628-B5A859FFA1D0}">
      <text>
        <r>
          <rPr>
            <sz val="10"/>
            <rFont val="Arial"/>
            <family val="2"/>
          </rPr>
          <t>Enter a 1 if this property is this employees home property</t>
        </r>
      </text>
    </comment>
    <comment ref="G102" authorId="0" shapeId="0" xr:uid="{FE1330B3-9375-4B0B-97D4-FFC37486B47E}">
      <text>
        <r>
          <rPr>
            <sz val="10"/>
            <rFont val="Arial"/>
            <family val="2"/>
          </rPr>
          <t>For full time employees enter 1.0. If this employee is share between properties enter the proration factor i.e. work 3 days a week on this property enter 0.6.</t>
        </r>
      </text>
    </comment>
    <comment ref="H102" authorId="0" shapeId="0" xr:uid="{78B2E0B9-C20E-4C18-87B3-9BB989D07A9D}">
      <text>
        <r>
          <rPr>
            <sz val="10"/>
            <rFont val="Arial"/>
            <family val="2"/>
          </rPr>
          <t>Enter the number of Instructor Lead trainings this employee will attend.</t>
        </r>
      </text>
    </comment>
    <comment ref="I102" authorId="3" shapeId="0" xr:uid="{B821A23E-4954-45BB-B2DF-E8D966BB3F4C}">
      <text>
        <r>
          <rPr>
            <sz val="10"/>
            <rFont val="Arial"/>
            <family val="2"/>
          </rPr>
          <t>Enter the monthly amount to be reimbursed.
This will be added into salary.</t>
        </r>
      </text>
    </comment>
    <comment ref="R102" authorId="0" shapeId="0" xr:uid="{C890FB83-EF7C-4F7A-8950-3B542025CFD6}">
      <text>
        <r>
          <rPr>
            <sz val="10"/>
            <rFont val="Arial"/>
            <family val="2"/>
          </rPr>
          <t>If you want to include vacation in the budget, enter the number of weeks of vacation that will accrue for the year.  Consult with your client before budgeting vacation.</t>
        </r>
      </text>
    </comment>
    <comment ref="S103" authorId="0" shapeId="0" xr:uid="{0B1CCFEF-31BE-4F55-B8B7-4C4997D66731}">
      <text>
        <r>
          <rPr>
            <sz val="10"/>
            <rFont val="Arial"/>
            <family val="2"/>
          </rPr>
          <t>Enter here a variation in the monthly salary different from the calculated amount above.</t>
        </r>
      </text>
    </comment>
    <comment ref="T103" authorId="0" shapeId="0" xr:uid="{E666E059-1B39-44D9-B3DC-5C2BAE2C7063}">
      <text>
        <r>
          <rPr>
            <sz val="10"/>
            <rFont val="Arial"/>
            <family val="2"/>
          </rPr>
          <t>Enter here a variation in the monthly salary different from the calculated amount above.</t>
        </r>
      </text>
    </comment>
    <comment ref="U103" authorId="0" shapeId="0" xr:uid="{AB8672DD-CEFA-4B7A-80DC-848C3AD3C213}">
      <text>
        <r>
          <rPr>
            <sz val="10"/>
            <rFont val="Arial"/>
            <family val="2"/>
          </rPr>
          <t>Enter here a variation in the monthly salary different from the calculated amount above.</t>
        </r>
      </text>
    </comment>
    <comment ref="V103" authorId="0" shapeId="0" xr:uid="{D4727DB2-FC85-462F-AAEF-44D0966DE8B2}">
      <text>
        <r>
          <rPr>
            <sz val="10"/>
            <rFont val="Arial"/>
            <family val="2"/>
          </rPr>
          <t>Enter here a variation in the monthly salary different from the calculated amount above.</t>
        </r>
      </text>
    </comment>
    <comment ref="W103" authorId="0" shapeId="0" xr:uid="{B62F34A3-2CA8-4B2D-A3F9-2BDE27D4D575}">
      <text>
        <r>
          <rPr>
            <sz val="10"/>
            <rFont val="Arial"/>
            <family val="2"/>
          </rPr>
          <t>Enter here a variation in the monthly salary different from the calculated amount above.</t>
        </r>
      </text>
    </comment>
    <comment ref="X103" authorId="0" shapeId="0" xr:uid="{B0C380CF-EAF9-4C6D-B349-512B5D35844D}">
      <text>
        <r>
          <rPr>
            <sz val="10"/>
            <rFont val="Arial"/>
            <family val="2"/>
          </rPr>
          <t>Enter here a variation in the monthly salary different from the calculated amount above.</t>
        </r>
      </text>
    </comment>
    <comment ref="Y103" authorId="0" shapeId="0" xr:uid="{DC4D8794-8D44-4002-916F-58252E638599}">
      <text>
        <r>
          <rPr>
            <sz val="10"/>
            <rFont val="Arial"/>
            <family val="2"/>
          </rPr>
          <t>Enter here a variation in the monthly salary different from the calculated amount above.</t>
        </r>
      </text>
    </comment>
    <comment ref="Z103" authorId="0" shapeId="0" xr:uid="{F2294686-83E9-4DBB-A6FE-9ECFA39A5606}">
      <text>
        <r>
          <rPr>
            <sz val="10"/>
            <rFont val="Arial"/>
            <family val="2"/>
          </rPr>
          <t>Enter here a variation in the monthly salary different from the calculated amount above.</t>
        </r>
      </text>
    </comment>
    <comment ref="AA103" authorId="0" shapeId="0" xr:uid="{B7BB0B45-64C0-4CC5-8C46-289B65AA093D}">
      <text>
        <r>
          <rPr>
            <sz val="10"/>
            <rFont val="Arial"/>
            <family val="2"/>
          </rPr>
          <t>Enter here a variation in the monthly salary different from the calculated amount above.</t>
        </r>
      </text>
    </comment>
    <comment ref="AB103" authorId="0" shapeId="0" xr:uid="{EFC56CBE-B5A1-4451-9FDF-5E42D18E989A}">
      <text>
        <r>
          <rPr>
            <sz val="10"/>
            <rFont val="Arial"/>
            <family val="2"/>
          </rPr>
          <t>Enter here a variation in the monthly salary different from the calculated amount above.</t>
        </r>
      </text>
    </comment>
    <comment ref="AC103" authorId="0" shapeId="0" xr:uid="{E4A233F1-DEF3-4F23-B9EB-DF9BD7FB3243}">
      <text>
        <r>
          <rPr>
            <sz val="10"/>
            <rFont val="Arial"/>
            <family val="2"/>
          </rPr>
          <t>Enter here a variation in the monthly salary different from the calculated amount above.</t>
        </r>
      </text>
    </comment>
    <comment ref="AD103" authorId="0" shapeId="0" xr:uid="{4E37D8A8-9E37-4B26-AEAA-7725071D7F8E}">
      <text>
        <r>
          <rPr>
            <sz val="10"/>
            <rFont val="Arial"/>
            <family val="2"/>
          </rPr>
          <t>Enter here a variation in the monthly salary different from the calculated amount above.</t>
        </r>
      </text>
    </comment>
    <comment ref="F110" authorId="0" shapeId="0" xr:uid="{3BAFB8D2-8598-437F-979F-8BE4EF6CDE6F}">
      <text>
        <r>
          <rPr>
            <sz val="10"/>
            <rFont val="Arial"/>
            <family val="2"/>
          </rPr>
          <t>Enter a 1 if this property is this employees home property</t>
        </r>
      </text>
    </comment>
    <comment ref="G110" authorId="0" shapeId="0" xr:uid="{5F86656A-C8F8-4B1A-A35E-59D67FA2B751}">
      <text>
        <r>
          <rPr>
            <sz val="10"/>
            <rFont val="Arial"/>
            <family val="2"/>
          </rPr>
          <t>For full time employees enter 1.0. If this employee is share between properties enter the proration factor i.e. work 3 days a week on this property enter 0.6.</t>
        </r>
      </text>
    </comment>
    <comment ref="H110" authorId="0" shapeId="0" xr:uid="{B109941E-B27E-4C7A-9218-36B26143B232}">
      <text>
        <r>
          <rPr>
            <sz val="10"/>
            <rFont val="Arial"/>
            <family val="2"/>
          </rPr>
          <t>Enter the number of Instructor Lead trainings this employee will attend.</t>
        </r>
      </text>
    </comment>
    <comment ref="I110" authorId="3" shapeId="0" xr:uid="{A2F135F4-8D99-4396-9216-DFC9C125BAA4}">
      <text>
        <r>
          <rPr>
            <sz val="10"/>
            <rFont val="Arial"/>
            <family val="2"/>
          </rPr>
          <t>Enter the monthly amount to be reimbursed.
This will be added into salary.</t>
        </r>
      </text>
    </comment>
    <comment ref="R110" authorId="0" shapeId="0" xr:uid="{55A9D46D-9CA6-4308-9D58-42B23A7C7063}">
      <text>
        <r>
          <rPr>
            <sz val="10"/>
            <rFont val="Arial"/>
            <family val="2"/>
          </rPr>
          <t>If you want to include vacation in the budget, enter the number of weeks of vacation that will accrue for the year.  Consult with your client before budgeting vacation.</t>
        </r>
      </text>
    </comment>
    <comment ref="S111" authorId="0" shapeId="0" xr:uid="{C06251D4-B32A-46A3-9717-A767CB9EC682}">
      <text>
        <r>
          <rPr>
            <sz val="10"/>
            <rFont val="Arial"/>
            <family val="2"/>
          </rPr>
          <t>Enter here a variation in the monthly salary different from the calculated amount above.</t>
        </r>
      </text>
    </comment>
    <comment ref="T111" authorId="0" shapeId="0" xr:uid="{4C8990D3-95A9-41E7-A967-7F881BFE91B6}">
      <text>
        <r>
          <rPr>
            <sz val="10"/>
            <rFont val="Arial"/>
            <family val="2"/>
          </rPr>
          <t>Enter here a variation in the monthly salary different from the calculated amount above.</t>
        </r>
      </text>
    </comment>
    <comment ref="U111" authorId="0" shapeId="0" xr:uid="{CEFEC633-2944-4588-9086-514ADCFC32CD}">
      <text>
        <r>
          <rPr>
            <sz val="10"/>
            <rFont val="Arial"/>
            <family val="2"/>
          </rPr>
          <t>Enter here a variation in the monthly salary different from the calculated amount above.</t>
        </r>
      </text>
    </comment>
    <comment ref="V111" authorId="0" shapeId="0" xr:uid="{A9AD3CFB-A5F6-4E52-8040-71F20387AAA8}">
      <text>
        <r>
          <rPr>
            <sz val="10"/>
            <rFont val="Arial"/>
            <family val="2"/>
          </rPr>
          <t>Enter here a variation in the monthly salary different from the calculated amount above.</t>
        </r>
      </text>
    </comment>
    <comment ref="W111" authorId="0" shapeId="0" xr:uid="{22D44DDD-1027-4D76-A424-F950147BDE0D}">
      <text>
        <r>
          <rPr>
            <sz val="10"/>
            <rFont val="Arial"/>
            <family val="2"/>
          </rPr>
          <t>Enter here a variation in the monthly salary different from the calculated amount above.</t>
        </r>
      </text>
    </comment>
    <comment ref="X111" authorId="0" shapeId="0" xr:uid="{785CF0E9-7A2E-46D2-B261-06F710C79267}">
      <text>
        <r>
          <rPr>
            <sz val="10"/>
            <rFont val="Arial"/>
            <family val="2"/>
          </rPr>
          <t>Enter here a variation in the monthly salary different from the calculated amount above.</t>
        </r>
      </text>
    </comment>
    <comment ref="Y111" authorId="0" shapeId="0" xr:uid="{457D48C6-D64D-4F0A-B2F1-171F470ED6FA}">
      <text>
        <r>
          <rPr>
            <sz val="10"/>
            <rFont val="Arial"/>
            <family val="2"/>
          </rPr>
          <t>Enter here a variation in the monthly salary different from the calculated amount above.</t>
        </r>
      </text>
    </comment>
    <comment ref="Z111" authorId="0" shapeId="0" xr:uid="{6D15F6B1-2DB2-4FDD-B772-8B12EA255646}">
      <text>
        <r>
          <rPr>
            <sz val="10"/>
            <rFont val="Arial"/>
            <family val="2"/>
          </rPr>
          <t>Enter here a variation in the monthly salary different from the calculated amount above.</t>
        </r>
      </text>
    </comment>
    <comment ref="AA111" authorId="0" shapeId="0" xr:uid="{FE738A74-532D-4D7C-860D-182922BBDCC1}">
      <text>
        <r>
          <rPr>
            <sz val="10"/>
            <rFont val="Arial"/>
            <family val="2"/>
          </rPr>
          <t>Enter here a variation in the monthly salary different from the calculated amount above.</t>
        </r>
      </text>
    </comment>
    <comment ref="AB111" authorId="0" shapeId="0" xr:uid="{996C9325-3916-451B-B6E8-269B507C8EF0}">
      <text>
        <r>
          <rPr>
            <sz val="10"/>
            <rFont val="Arial"/>
            <family val="2"/>
          </rPr>
          <t>Enter here a variation in the monthly salary different from the calculated amount above.</t>
        </r>
      </text>
    </comment>
    <comment ref="AC111" authorId="0" shapeId="0" xr:uid="{4956E7A5-BA3B-49D7-8B54-12841CA58436}">
      <text>
        <r>
          <rPr>
            <sz val="10"/>
            <rFont val="Arial"/>
            <family val="2"/>
          </rPr>
          <t>Enter here a variation in the monthly salary different from the calculated amount above.</t>
        </r>
      </text>
    </comment>
    <comment ref="AD111" authorId="0" shapeId="0" xr:uid="{FE065070-26EF-4BC2-9ACB-D87FA6A20C3F}">
      <text>
        <r>
          <rPr>
            <sz val="10"/>
            <rFont val="Arial"/>
            <family val="2"/>
          </rPr>
          <t>Enter here a variation in the monthly salary different from the calculated amount above.</t>
        </r>
      </text>
    </comment>
    <comment ref="F118" authorId="0" shapeId="0" xr:uid="{46CE91B4-E687-41E7-89D3-3BB866792A07}">
      <text>
        <r>
          <rPr>
            <sz val="10"/>
            <rFont val="Arial"/>
            <family val="2"/>
          </rPr>
          <t>Enter a 1 if this property is this employees home property</t>
        </r>
      </text>
    </comment>
    <comment ref="G118" authorId="0" shapeId="0" xr:uid="{832CC642-6438-4A6B-8C3D-C0F5BACC61F9}">
      <text>
        <r>
          <rPr>
            <sz val="10"/>
            <rFont val="Arial"/>
            <family val="2"/>
          </rPr>
          <t>For full time employees enter 1.0. If this employee is share between properties enter the proration factor i.e. work 3 days a week on this property enter 0.6.</t>
        </r>
      </text>
    </comment>
    <comment ref="H118" authorId="0" shapeId="0" xr:uid="{6D70789D-319C-4D53-B34D-D5854D62B054}">
      <text>
        <r>
          <rPr>
            <sz val="10"/>
            <rFont val="Arial"/>
            <family val="2"/>
          </rPr>
          <t>Enter the number of Instructor Lead trainings this employee will attend.</t>
        </r>
      </text>
    </comment>
    <comment ref="I118" authorId="3" shapeId="0" xr:uid="{2BFE964C-4664-4AFB-A5A7-065540CAD93F}">
      <text>
        <r>
          <rPr>
            <sz val="10"/>
            <rFont val="Arial"/>
            <family val="2"/>
          </rPr>
          <t>Enter the monthly amount to be reimbursed.
This will be added into salary.</t>
        </r>
      </text>
    </comment>
    <comment ref="R118" authorId="0" shapeId="0" xr:uid="{E7C3B1C0-4439-4969-8695-AAEF98ACCEC7}">
      <text>
        <r>
          <rPr>
            <sz val="10"/>
            <rFont val="Arial"/>
            <family val="2"/>
          </rPr>
          <t>If you want to include vacation in the budget, enter the number of weeks of vacation that will accrue for the year.  Consult with your client before budgeting vacation.</t>
        </r>
      </text>
    </comment>
    <comment ref="S119" authorId="0" shapeId="0" xr:uid="{0D2C8871-6C96-4CD8-8C7D-5FA8A6DC62AF}">
      <text>
        <r>
          <rPr>
            <sz val="10"/>
            <rFont val="Arial"/>
            <family val="2"/>
          </rPr>
          <t>Enter here a variation in the monthly salary different from the calculated amount above.</t>
        </r>
      </text>
    </comment>
    <comment ref="T119" authorId="0" shapeId="0" xr:uid="{DE55E731-AB1A-4945-8237-22B999CC45FB}">
      <text>
        <r>
          <rPr>
            <sz val="10"/>
            <rFont val="Arial"/>
            <family val="2"/>
          </rPr>
          <t>Enter here a variation in the monthly salary different from the calculated amount above.</t>
        </r>
      </text>
    </comment>
    <comment ref="U119" authorId="0" shapeId="0" xr:uid="{C3AFE213-CB63-4B02-BBD5-E8DAD2C15BE8}">
      <text>
        <r>
          <rPr>
            <sz val="10"/>
            <rFont val="Arial"/>
            <family val="2"/>
          </rPr>
          <t>Enter here a variation in the monthly salary different from the calculated amount above.</t>
        </r>
      </text>
    </comment>
    <comment ref="V119" authorId="0" shapeId="0" xr:uid="{263CB6A1-7601-485D-B614-FB681EF0F2A1}">
      <text>
        <r>
          <rPr>
            <sz val="10"/>
            <rFont val="Arial"/>
            <family val="2"/>
          </rPr>
          <t>Enter here a variation in the monthly salary different from the calculated amount above.</t>
        </r>
      </text>
    </comment>
    <comment ref="W119" authorId="0" shapeId="0" xr:uid="{B55FFCA0-BDC4-4C09-B49D-B510686749C6}">
      <text>
        <r>
          <rPr>
            <sz val="10"/>
            <rFont val="Arial"/>
            <family val="2"/>
          </rPr>
          <t>Enter here a variation in the monthly salary different from the calculated amount above.</t>
        </r>
      </text>
    </comment>
    <comment ref="X119" authorId="0" shapeId="0" xr:uid="{99FDFD37-A02E-4524-BD72-48E61AA12589}">
      <text>
        <r>
          <rPr>
            <sz val="10"/>
            <rFont val="Arial"/>
            <family val="2"/>
          </rPr>
          <t>Enter here a variation in the monthly salary different from the calculated amount above.</t>
        </r>
      </text>
    </comment>
    <comment ref="Y119" authorId="0" shapeId="0" xr:uid="{CFA37A6B-0658-48EC-A79E-6B49D24667F2}">
      <text>
        <r>
          <rPr>
            <sz val="10"/>
            <rFont val="Arial"/>
            <family val="2"/>
          </rPr>
          <t>Enter here a variation in the monthly salary different from the calculated amount above.</t>
        </r>
      </text>
    </comment>
    <comment ref="Z119" authorId="0" shapeId="0" xr:uid="{A6C3E41F-646E-47B9-A77B-2D58843E48DB}">
      <text>
        <r>
          <rPr>
            <sz val="10"/>
            <rFont val="Arial"/>
            <family val="2"/>
          </rPr>
          <t>Enter here a variation in the monthly salary different from the calculated amount above.</t>
        </r>
      </text>
    </comment>
    <comment ref="AA119" authorId="0" shapeId="0" xr:uid="{A9B2E02E-2C20-489E-863E-607F0D9DED23}">
      <text>
        <r>
          <rPr>
            <sz val="10"/>
            <rFont val="Arial"/>
            <family val="2"/>
          </rPr>
          <t>Enter here a variation in the monthly salary different from the calculated amount above.</t>
        </r>
      </text>
    </comment>
    <comment ref="AB119" authorId="0" shapeId="0" xr:uid="{E59F00AE-9499-4F1C-9E59-C11EAC7042CC}">
      <text>
        <r>
          <rPr>
            <sz val="10"/>
            <rFont val="Arial"/>
            <family val="2"/>
          </rPr>
          <t>Enter here a variation in the monthly salary different from the calculated amount above.</t>
        </r>
      </text>
    </comment>
    <comment ref="AC119" authorId="0" shapeId="0" xr:uid="{1B2B9163-2B79-4A2E-AE18-CF701745E98A}">
      <text>
        <r>
          <rPr>
            <sz val="10"/>
            <rFont val="Arial"/>
            <family val="2"/>
          </rPr>
          <t>Enter here a variation in the monthly salary different from the calculated amount above.</t>
        </r>
      </text>
    </comment>
    <comment ref="AD119" authorId="0" shapeId="0" xr:uid="{A0C661A7-CBAA-41A1-BEF8-F9660E8A083F}">
      <text>
        <r>
          <rPr>
            <sz val="10"/>
            <rFont val="Arial"/>
            <family val="2"/>
          </rPr>
          <t>Enter here a variation in the monthly salary different from the calculated amount above.</t>
        </r>
      </text>
    </comment>
    <comment ref="F126" authorId="0" shapeId="0" xr:uid="{A36B2909-080B-4155-84E7-3720D315D6AD}">
      <text>
        <r>
          <rPr>
            <sz val="10"/>
            <rFont val="Arial"/>
            <family val="2"/>
          </rPr>
          <t>Enter a 1 if this property is this employees home property</t>
        </r>
      </text>
    </comment>
    <comment ref="G126" authorId="0" shapeId="0" xr:uid="{F0C3B104-7109-41AE-8756-8AFD497C638A}">
      <text>
        <r>
          <rPr>
            <sz val="10"/>
            <rFont val="Arial"/>
            <family val="2"/>
          </rPr>
          <t>For full time employees enter 1.0. If this employee is share between properties enter the proration factor i.e. work 3 days a week on this property enter 0.6.</t>
        </r>
      </text>
    </comment>
    <comment ref="H126" authorId="0" shapeId="0" xr:uid="{30FF9BE4-FBD3-4017-A145-06F8441E7D22}">
      <text>
        <r>
          <rPr>
            <sz val="10"/>
            <rFont val="Arial"/>
            <family val="2"/>
          </rPr>
          <t>Enter the number of Instructor Lead trainings this employee will attend.</t>
        </r>
      </text>
    </comment>
    <comment ref="I126" authorId="3" shapeId="0" xr:uid="{894AA9C3-437A-4632-B034-BDA2D28A3142}">
      <text>
        <r>
          <rPr>
            <sz val="10"/>
            <rFont val="Arial"/>
            <family val="2"/>
          </rPr>
          <t>Enter the monthly amount to be reimbursed.
This will be added into salary.</t>
        </r>
      </text>
    </comment>
    <comment ref="R126" authorId="0" shapeId="0" xr:uid="{143F534E-87D0-45D3-B3F0-2A07C6296B42}">
      <text>
        <r>
          <rPr>
            <sz val="10"/>
            <rFont val="Arial"/>
            <family val="2"/>
          </rPr>
          <t>If you want to include vacation in the budget, enter the number of weeks of vacation that will accrue for the year.  Consult with your client before budgeting vacation.</t>
        </r>
      </text>
    </comment>
    <comment ref="S127" authorId="0" shapeId="0" xr:uid="{87DE4507-E9AD-4626-89AD-B4AEEC0129BC}">
      <text>
        <r>
          <rPr>
            <sz val="10"/>
            <rFont val="Arial"/>
            <family val="2"/>
          </rPr>
          <t>Enter here a variation in the monthly salary different from the calculated amount above.</t>
        </r>
      </text>
    </comment>
    <comment ref="T127" authorId="0" shapeId="0" xr:uid="{16BD5AE3-FABF-47D7-A515-E5498262AB41}">
      <text>
        <r>
          <rPr>
            <sz val="10"/>
            <rFont val="Arial"/>
            <family val="2"/>
          </rPr>
          <t>Enter here a variation in the monthly salary different from the calculated amount above.</t>
        </r>
      </text>
    </comment>
    <comment ref="U127" authorId="0" shapeId="0" xr:uid="{15C62874-4592-4749-AF6F-484A235163FE}">
      <text>
        <r>
          <rPr>
            <sz val="10"/>
            <rFont val="Arial"/>
            <family val="2"/>
          </rPr>
          <t>Enter here a variation in the monthly salary different from the calculated amount above.</t>
        </r>
      </text>
    </comment>
    <comment ref="V127" authorId="0" shapeId="0" xr:uid="{0F2B24A4-97A0-40FB-A28E-6E9F8690C97D}">
      <text>
        <r>
          <rPr>
            <sz val="10"/>
            <rFont val="Arial"/>
            <family val="2"/>
          </rPr>
          <t>Enter here a variation in the monthly salary different from the calculated amount above.</t>
        </r>
      </text>
    </comment>
    <comment ref="W127" authorId="0" shapeId="0" xr:uid="{3BC590D6-2814-480E-8B0F-B13E21CFD0FF}">
      <text>
        <r>
          <rPr>
            <sz val="10"/>
            <rFont val="Arial"/>
            <family val="2"/>
          </rPr>
          <t>Enter here a variation in the monthly salary different from the calculated amount above.</t>
        </r>
      </text>
    </comment>
    <comment ref="X127" authorId="0" shapeId="0" xr:uid="{14189332-ADA0-4495-8D43-3C9EC050E80C}">
      <text>
        <r>
          <rPr>
            <sz val="10"/>
            <rFont val="Arial"/>
            <family val="2"/>
          </rPr>
          <t>Enter here a variation in the monthly salary different from the calculated amount above.</t>
        </r>
      </text>
    </comment>
    <comment ref="Y127" authorId="0" shapeId="0" xr:uid="{705CC863-6745-48C9-AAEE-3F65E7406E50}">
      <text>
        <r>
          <rPr>
            <sz val="10"/>
            <rFont val="Arial"/>
            <family val="2"/>
          </rPr>
          <t>Enter here a variation in the monthly salary different from the calculated amount above.</t>
        </r>
      </text>
    </comment>
    <comment ref="Z127" authorId="0" shapeId="0" xr:uid="{F8908E91-0F9A-4092-9BF3-8EB4D3FCE5F5}">
      <text>
        <r>
          <rPr>
            <sz val="10"/>
            <rFont val="Arial"/>
            <family val="2"/>
          </rPr>
          <t>Enter here a variation in the monthly salary different from the calculated amount above.</t>
        </r>
      </text>
    </comment>
    <comment ref="AA127" authorId="0" shapeId="0" xr:uid="{66AFFF96-2491-4F78-B145-3A0956736E25}">
      <text>
        <r>
          <rPr>
            <sz val="10"/>
            <rFont val="Arial"/>
            <family val="2"/>
          </rPr>
          <t>Enter here a variation in the monthly salary different from the calculated amount above.</t>
        </r>
      </text>
    </comment>
    <comment ref="AB127" authorId="0" shapeId="0" xr:uid="{866216C7-9DA4-42A1-81DF-E53FD03F2E06}">
      <text>
        <r>
          <rPr>
            <sz val="10"/>
            <rFont val="Arial"/>
            <family val="2"/>
          </rPr>
          <t>Enter here a variation in the monthly salary different from the calculated amount above.</t>
        </r>
      </text>
    </comment>
    <comment ref="AC127" authorId="0" shapeId="0" xr:uid="{3DA016DB-66C4-4C54-83F9-5B1E68FA1A8A}">
      <text>
        <r>
          <rPr>
            <sz val="10"/>
            <rFont val="Arial"/>
            <family val="2"/>
          </rPr>
          <t>Enter here a variation in the monthly salary different from the calculated amount above.</t>
        </r>
      </text>
    </comment>
    <comment ref="AD127" authorId="0" shapeId="0" xr:uid="{61E83DA7-AFBB-44A5-9A20-44DD7F704BB8}">
      <text>
        <r>
          <rPr>
            <sz val="10"/>
            <rFont val="Arial"/>
            <family val="2"/>
          </rPr>
          <t>Enter here a variation in the monthly salary different from the calculated amount above.</t>
        </r>
      </text>
    </comment>
    <comment ref="F134" authorId="0" shapeId="0" xr:uid="{9D48C573-B5A7-4C43-9314-9E566452792B}">
      <text>
        <r>
          <rPr>
            <sz val="10"/>
            <rFont val="Arial"/>
            <family val="2"/>
          </rPr>
          <t>Enter a 1 if this property is this employees home property</t>
        </r>
      </text>
    </comment>
    <comment ref="G134" authorId="0" shapeId="0" xr:uid="{45DAB429-D2F8-47DC-9A5E-95BAC31A2391}">
      <text>
        <r>
          <rPr>
            <sz val="10"/>
            <rFont val="Arial"/>
            <family val="2"/>
          </rPr>
          <t>For full time employees enter 1.0. If this employee is share between properties enter the proration factor i.e. work 3 days a week on this property enter 0.6.</t>
        </r>
      </text>
    </comment>
    <comment ref="H134" authorId="0" shapeId="0" xr:uid="{AB2F079A-6690-4A51-9FAF-D73C1FBE7F4D}">
      <text>
        <r>
          <rPr>
            <sz val="10"/>
            <rFont val="Arial"/>
            <family val="2"/>
          </rPr>
          <t>Enter the number of Instructor Lead trainings this employee will attend.</t>
        </r>
      </text>
    </comment>
    <comment ref="I134" authorId="3" shapeId="0" xr:uid="{89F1C214-C872-415A-AFE7-D20A1DA29569}">
      <text>
        <r>
          <rPr>
            <sz val="10"/>
            <rFont val="Arial"/>
            <family val="2"/>
          </rPr>
          <t>Enter the monthly amount to be reimbursed.
This will be added into salary.</t>
        </r>
      </text>
    </comment>
    <comment ref="R134" authorId="0" shapeId="0" xr:uid="{35870E26-CB55-4C6C-A913-A5D190F88A00}">
      <text>
        <r>
          <rPr>
            <sz val="10"/>
            <rFont val="Arial"/>
            <family val="2"/>
          </rPr>
          <t>If you want to include vacation in the budget, enter the number of weeks of vacation that will accrue for the year.  Consult with your client before budgeting vacation.</t>
        </r>
      </text>
    </comment>
    <comment ref="S135" authorId="0" shapeId="0" xr:uid="{475DCACA-A879-4028-B868-A5B79F5E234D}">
      <text>
        <r>
          <rPr>
            <sz val="10"/>
            <rFont val="Arial"/>
            <family val="2"/>
          </rPr>
          <t>Enter here a variation in the monthly salary different from the calculated amount above.</t>
        </r>
      </text>
    </comment>
    <comment ref="T135" authorId="0" shapeId="0" xr:uid="{290BC1D9-FC6C-41C3-93C6-05104E54446D}">
      <text>
        <r>
          <rPr>
            <sz val="10"/>
            <rFont val="Arial"/>
            <family val="2"/>
          </rPr>
          <t>Enter here a variation in the monthly salary different from the calculated amount above.</t>
        </r>
      </text>
    </comment>
    <comment ref="U135" authorId="0" shapeId="0" xr:uid="{9F2D8D47-A403-4FB8-B0C7-9F1BA00AB64E}">
      <text>
        <r>
          <rPr>
            <sz val="10"/>
            <rFont val="Arial"/>
            <family val="2"/>
          </rPr>
          <t>Enter here a variation in the monthly salary different from the calculated amount above.</t>
        </r>
      </text>
    </comment>
    <comment ref="V135" authorId="0" shapeId="0" xr:uid="{DA1C3BB6-5624-4805-A886-80D636D5A0D8}">
      <text>
        <r>
          <rPr>
            <sz val="10"/>
            <rFont val="Arial"/>
            <family val="2"/>
          </rPr>
          <t>Enter here a variation in the monthly salary different from the calculated amount above.</t>
        </r>
      </text>
    </comment>
    <comment ref="W135" authorId="0" shapeId="0" xr:uid="{32B66DFD-DEE2-477F-96C7-081BF6F7F086}">
      <text>
        <r>
          <rPr>
            <sz val="10"/>
            <rFont val="Arial"/>
            <family val="2"/>
          </rPr>
          <t>Enter here a variation in the monthly salary different from the calculated amount above.</t>
        </r>
      </text>
    </comment>
    <comment ref="X135" authorId="0" shapeId="0" xr:uid="{CBC914ED-B4C4-42A5-8967-B3EA0972D474}">
      <text>
        <r>
          <rPr>
            <sz val="10"/>
            <rFont val="Arial"/>
            <family val="2"/>
          </rPr>
          <t>Enter here a variation in the monthly salary different from the calculated amount above.</t>
        </r>
      </text>
    </comment>
    <comment ref="Y135" authorId="0" shapeId="0" xr:uid="{52EAFE88-1C2D-46EF-8EE5-DD93EB5187C8}">
      <text>
        <r>
          <rPr>
            <sz val="10"/>
            <rFont val="Arial"/>
            <family val="2"/>
          </rPr>
          <t>Enter here a variation in the monthly salary different from the calculated amount above.</t>
        </r>
      </text>
    </comment>
    <comment ref="Z135" authorId="0" shapeId="0" xr:uid="{9BB8C0CC-66B7-42D1-81A6-2CAE9543F715}">
      <text>
        <r>
          <rPr>
            <sz val="10"/>
            <rFont val="Arial"/>
            <family val="2"/>
          </rPr>
          <t>Enter here a variation in the monthly salary different from the calculated amount above.</t>
        </r>
      </text>
    </comment>
    <comment ref="AA135" authorId="0" shapeId="0" xr:uid="{23EFBF89-62CB-4910-9CDE-DB5197FB9457}">
      <text>
        <r>
          <rPr>
            <sz val="10"/>
            <rFont val="Arial"/>
            <family val="2"/>
          </rPr>
          <t>Enter here a variation in the monthly salary different from the calculated amount above.</t>
        </r>
      </text>
    </comment>
    <comment ref="AB135" authorId="0" shapeId="0" xr:uid="{55F7740C-DFEA-471C-AE65-96E20B53C09D}">
      <text>
        <r>
          <rPr>
            <sz val="10"/>
            <rFont val="Arial"/>
            <family val="2"/>
          </rPr>
          <t>Enter here a variation in the monthly salary different from the calculated amount above.</t>
        </r>
      </text>
    </comment>
    <comment ref="AC135" authorId="0" shapeId="0" xr:uid="{C62F1CB3-8B82-4FA0-8B95-2046AB837020}">
      <text>
        <r>
          <rPr>
            <sz val="10"/>
            <rFont val="Arial"/>
            <family val="2"/>
          </rPr>
          <t>Enter here a variation in the monthly salary different from the calculated amount above.</t>
        </r>
      </text>
    </comment>
    <comment ref="AD135" authorId="0" shapeId="0" xr:uid="{694D3538-4C1E-4FEB-826D-829DED979627}">
      <text>
        <r>
          <rPr>
            <sz val="10"/>
            <rFont val="Arial"/>
            <family val="2"/>
          </rPr>
          <t>Enter here a variation in the monthly salary different from the calculated amount above.</t>
        </r>
      </text>
    </comment>
    <comment ref="F142" authorId="0" shapeId="0" xr:uid="{DE65376D-9064-4430-9A7A-708AB19BDA69}">
      <text>
        <r>
          <rPr>
            <sz val="10"/>
            <rFont val="Arial"/>
            <family val="2"/>
          </rPr>
          <t>Enter a 1 if this property is this employees home property</t>
        </r>
      </text>
    </comment>
    <comment ref="G142" authorId="0" shapeId="0" xr:uid="{FB91FB46-8202-4A12-BC8C-1B8A5241388C}">
      <text>
        <r>
          <rPr>
            <sz val="10"/>
            <rFont val="Arial"/>
            <family val="2"/>
          </rPr>
          <t>For full time employees enter 1.0. If this employee is share between properties enter the proration factor i.e. work 3 days a week on this property enter 0.6.</t>
        </r>
      </text>
    </comment>
    <comment ref="H142" authorId="0" shapeId="0" xr:uid="{84407F51-1985-4214-AF2A-3EC73A3B1421}">
      <text>
        <r>
          <rPr>
            <sz val="10"/>
            <rFont val="Arial"/>
            <family val="2"/>
          </rPr>
          <t>Enter the number of Instructor Lead trainings this employee will attend.</t>
        </r>
      </text>
    </comment>
    <comment ref="I142" authorId="3" shapeId="0" xr:uid="{C3E8973F-BD94-4296-8080-1A5958E39136}">
      <text>
        <r>
          <rPr>
            <sz val="10"/>
            <rFont val="Arial"/>
            <family val="2"/>
          </rPr>
          <t>Enter the monthly amount to be reimbursed.
This will be added into salary.</t>
        </r>
      </text>
    </comment>
    <comment ref="R142" authorId="0" shapeId="0" xr:uid="{F8376707-881C-4FC0-B08C-93D4E75EF8C7}">
      <text>
        <r>
          <rPr>
            <sz val="10"/>
            <rFont val="Arial"/>
            <family val="2"/>
          </rPr>
          <t>If you want to include vacation in the budget, enter the number of weeks of vacation that will accrue for the year.  Consult with your client before budgeting vacation.</t>
        </r>
      </text>
    </comment>
    <comment ref="S143" authorId="0" shapeId="0" xr:uid="{0712736C-8E88-4E27-A4CF-B25E115C64D1}">
      <text>
        <r>
          <rPr>
            <sz val="10"/>
            <rFont val="Arial"/>
            <family val="2"/>
          </rPr>
          <t>Enter here a variation in the monthly salary different from the calculated amount above.</t>
        </r>
      </text>
    </comment>
    <comment ref="T143" authorId="0" shapeId="0" xr:uid="{DD12C0AC-E4C1-497B-9156-3E7A88522BA4}">
      <text>
        <r>
          <rPr>
            <sz val="10"/>
            <rFont val="Arial"/>
            <family val="2"/>
          </rPr>
          <t>Enter here a variation in the monthly salary different from the calculated amount above.</t>
        </r>
      </text>
    </comment>
    <comment ref="U143" authorId="0" shapeId="0" xr:uid="{FB81F904-607C-442D-9133-F6CB9D57EC51}">
      <text>
        <r>
          <rPr>
            <sz val="10"/>
            <rFont val="Arial"/>
            <family val="2"/>
          </rPr>
          <t>Enter here a variation in the monthly salary different from the calculated amount above.</t>
        </r>
      </text>
    </comment>
    <comment ref="V143" authorId="0" shapeId="0" xr:uid="{B2B3AF5D-2AB3-4F1F-B423-996CF693D211}">
      <text>
        <r>
          <rPr>
            <sz val="10"/>
            <rFont val="Arial"/>
            <family val="2"/>
          </rPr>
          <t>Enter here a variation in the monthly salary different from the calculated amount above.</t>
        </r>
      </text>
    </comment>
    <comment ref="W143" authorId="0" shapeId="0" xr:uid="{60535CA5-6ED4-4C30-9D90-E6B167636705}">
      <text>
        <r>
          <rPr>
            <sz val="10"/>
            <rFont val="Arial"/>
            <family val="2"/>
          </rPr>
          <t>Enter here a variation in the monthly salary different from the calculated amount above.</t>
        </r>
      </text>
    </comment>
    <comment ref="X143" authorId="0" shapeId="0" xr:uid="{09C1514F-C5E8-4A99-AB11-31D3F7914F12}">
      <text>
        <r>
          <rPr>
            <sz val="10"/>
            <rFont val="Arial"/>
            <family val="2"/>
          </rPr>
          <t>Enter here a variation in the monthly salary different from the calculated amount above.</t>
        </r>
      </text>
    </comment>
    <comment ref="Y143" authorId="0" shapeId="0" xr:uid="{D6FBC497-957E-4103-91D7-6E67A50702D8}">
      <text>
        <r>
          <rPr>
            <sz val="10"/>
            <rFont val="Arial"/>
            <family val="2"/>
          </rPr>
          <t>Enter here a variation in the monthly salary different from the calculated amount above.</t>
        </r>
      </text>
    </comment>
    <comment ref="Z143" authorId="0" shapeId="0" xr:uid="{C271228C-6D51-43CE-926A-F53CBF3D5187}">
      <text>
        <r>
          <rPr>
            <sz val="10"/>
            <rFont val="Arial"/>
            <family val="2"/>
          </rPr>
          <t>Enter here a variation in the monthly salary different from the calculated amount above.</t>
        </r>
      </text>
    </comment>
    <comment ref="AA143" authorId="0" shapeId="0" xr:uid="{7F5026A3-44C9-484E-B73D-D5EC892BE788}">
      <text>
        <r>
          <rPr>
            <sz val="10"/>
            <rFont val="Arial"/>
            <family val="2"/>
          </rPr>
          <t>Enter here a variation in the monthly salary different from the calculated amount above.</t>
        </r>
      </text>
    </comment>
    <comment ref="AB143" authorId="0" shapeId="0" xr:uid="{F90E1D44-D409-463C-96FC-8281AC9F3F8E}">
      <text>
        <r>
          <rPr>
            <sz val="10"/>
            <rFont val="Arial"/>
            <family val="2"/>
          </rPr>
          <t>Enter here a variation in the monthly salary different from the calculated amount above.</t>
        </r>
      </text>
    </comment>
    <comment ref="AC143" authorId="0" shapeId="0" xr:uid="{07D3F19F-BD04-43C4-A6E6-60E65E112AD3}">
      <text>
        <r>
          <rPr>
            <sz val="10"/>
            <rFont val="Arial"/>
            <family val="2"/>
          </rPr>
          <t>Enter here a variation in the monthly salary different from the calculated amount above.</t>
        </r>
      </text>
    </comment>
    <comment ref="AD143" authorId="0" shapeId="0" xr:uid="{41B25798-2423-4850-BC46-7C51F3B2FF68}">
      <text>
        <r>
          <rPr>
            <sz val="10"/>
            <rFont val="Arial"/>
            <family val="2"/>
          </rPr>
          <t>Enter here a variation in the monthly salary different from the calculated amount above.</t>
        </r>
      </text>
    </comment>
    <comment ref="F150" authorId="0" shapeId="0" xr:uid="{9E92F98D-F75F-4617-B5A7-BF7A670D2A64}">
      <text>
        <r>
          <rPr>
            <sz val="10"/>
            <rFont val="Arial"/>
            <family val="2"/>
          </rPr>
          <t>Enter a 1 if this property is this employees home property</t>
        </r>
      </text>
    </comment>
    <comment ref="G150" authorId="0" shapeId="0" xr:uid="{3AD6F094-6ED8-479F-A847-11A321391012}">
      <text>
        <r>
          <rPr>
            <sz val="10"/>
            <rFont val="Arial"/>
            <family val="2"/>
          </rPr>
          <t>For full time employees enter 1.0. If this employee is share between properties enter the proration factor i.e. work 3 days a week on this property enter 0.6.</t>
        </r>
      </text>
    </comment>
    <comment ref="H150" authorId="0" shapeId="0" xr:uid="{28D8B4BE-B634-4D59-88CF-1EFA8F13A87F}">
      <text>
        <r>
          <rPr>
            <sz val="10"/>
            <rFont val="Arial"/>
            <family val="2"/>
          </rPr>
          <t>Enter the number of Instructor Lead trainings this employee will attend.</t>
        </r>
      </text>
    </comment>
    <comment ref="I150" authorId="3" shapeId="0" xr:uid="{7EF03041-516A-467D-A221-AA3DD04D2A1A}">
      <text>
        <r>
          <rPr>
            <sz val="10"/>
            <rFont val="Arial"/>
            <family val="2"/>
          </rPr>
          <t>Enter the monthly amount to be reimbursed.
This will be added into salary.</t>
        </r>
      </text>
    </comment>
    <comment ref="R150" authorId="0" shapeId="0" xr:uid="{9B73FDB3-5529-4082-B9F4-38ABCE837A7F}">
      <text>
        <r>
          <rPr>
            <sz val="10"/>
            <rFont val="Arial"/>
            <family val="2"/>
          </rPr>
          <t>If you want to include vacation in the budget, enter the number of weeks of vacation that will accrue for the year.  Consult with your client before budgeting vacation.</t>
        </r>
      </text>
    </comment>
    <comment ref="S151" authorId="0" shapeId="0" xr:uid="{6F7A81E7-D1E3-4BC4-9F5A-E5282BDB7309}">
      <text>
        <r>
          <rPr>
            <sz val="10"/>
            <rFont val="Arial"/>
            <family val="2"/>
          </rPr>
          <t>Enter here a variation in the monthly salary different from the calculated amount above.</t>
        </r>
      </text>
    </comment>
    <comment ref="T151" authorId="0" shapeId="0" xr:uid="{3AB51B65-B1E7-43CC-919A-E20E3C5FAD3D}">
      <text>
        <r>
          <rPr>
            <sz val="10"/>
            <rFont val="Arial"/>
            <family val="2"/>
          </rPr>
          <t>Enter here a variation in the monthly salary different from the calculated amount above.</t>
        </r>
      </text>
    </comment>
    <comment ref="U151" authorId="0" shapeId="0" xr:uid="{613F4443-2636-4504-99DF-0167DE91AD5A}">
      <text>
        <r>
          <rPr>
            <sz val="10"/>
            <rFont val="Arial"/>
            <family val="2"/>
          </rPr>
          <t>Enter here a variation in the monthly salary different from the calculated amount above.</t>
        </r>
      </text>
    </comment>
    <comment ref="V151" authorId="0" shapeId="0" xr:uid="{04B13A7F-E1CA-4019-B5E7-0B1FBC6BBB7C}">
      <text>
        <r>
          <rPr>
            <sz val="10"/>
            <rFont val="Arial"/>
            <family val="2"/>
          </rPr>
          <t>Enter here a variation in the monthly salary different from the calculated amount above.</t>
        </r>
      </text>
    </comment>
    <comment ref="W151" authorId="0" shapeId="0" xr:uid="{57363C61-0F6D-48A8-AE36-974163747449}">
      <text>
        <r>
          <rPr>
            <sz val="10"/>
            <rFont val="Arial"/>
            <family val="2"/>
          </rPr>
          <t>Enter here a variation in the monthly salary different from the calculated amount above.</t>
        </r>
      </text>
    </comment>
    <comment ref="X151" authorId="0" shapeId="0" xr:uid="{7354A5D9-F940-43FD-BFA2-4E7933D59CC4}">
      <text>
        <r>
          <rPr>
            <sz val="10"/>
            <rFont val="Arial"/>
            <family val="2"/>
          </rPr>
          <t>Enter here a variation in the monthly salary different from the calculated amount above.</t>
        </r>
      </text>
    </comment>
    <comment ref="Y151" authorId="0" shapeId="0" xr:uid="{DB31F74C-66B8-4634-BBD9-0044D5779D36}">
      <text>
        <r>
          <rPr>
            <sz val="10"/>
            <rFont val="Arial"/>
            <family val="2"/>
          </rPr>
          <t>Enter here a variation in the monthly salary different from the calculated amount above.</t>
        </r>
      </text>
    </comment>
    <comment ref="Z151" authorId="0" shapeId="0" xr:uid="{EEE17BF5-ACB9-428A-93F3-24D03C314BB5}">
      <text>
        <r>
          <rPr>
            <sz val="10"/>
            <rFont val="Arial"/>
            <family val="2"/>
          </rPr>
          <t>Enter here a variation in the monthly salary different from the calculated amount above.</t>
        </r>
      </text>
    </comment>
    <comment ref="AA151" authorId="0" shapeId="0" xr:uid="{3ACC79B5-BD0B-42B5-BA79-FD970B7F1845}">
      <text>
        <r>
          <rPr>
            <sz val="10"/>
            <rFont val="Arial"/>
            <family val="2"/>
          </rPr>
          <t>Enter here a variation in the monthly salary different from the calculated amount above.</t>
        </r>
      </text>
    </comment>
    <comment ref="AB151" authorId="0" shapeId="0" xr:uid="{7DC4BCD9-403A-4288-81DD-6CDC333DE2B9}">
      <text>
        <r>
          <rPr>
            <sz val="10"/>
            <rFont val="Arial"/>
            <family val="2"/>
          </rPr>
          <t>Enter here a variation in the monthly salary different from the calculated amount above.</t>
        </r>
      </text>
    </comment>
    <comment ref="AC151" authorId="0" shapeId="0" xr:uid="{48575DB1-488E-4DE7-9C15-A98242D5FD51}">
      <text>
        <r>
          <rPr>
            <sz val="10"/>
            <rFont val="Arial"/>
            <family val="2"/>
          </rPr>
          <t>Enter here a variation in the monthly salary different from the calculated amount above.</t>
        </r>
      </text>
    </comment>
    <comment ref="AD151" authorId="0" shapeId="0" xr:uid="{DAAA9808-A58B-4281-A799-4EEC1C2B5180}">
      <text>
        <r>
          <rPr>
            <sz val="10"/>
            <rFont val="Arial"/>
            <family val="2"/>
          </rPr>
          <t>Enter here a variation in the monthly salary different from the calculated amount above.</t>
        </r>
      </text>
    </comment>
    <comment ref="F158" authorId="0" shapeId="0" xr:uid="{F7A8DD64-1814-462D-8F70-F17708D7E7DF}">
      <text>
        <r>
          <rPr>
            <sz val="10"/>
            <rFont val="Arial"/>
            <family val="2"/>
          </rPr>
          <t>Enter a 1 if this property is this employees home property</t>
        </r>
      </text>
    </comment>
    <comment ref="G158" authorId="0" shapeId="0" xr:uid="{6236FF3F-7910-463A-90ED-000822820D6D}">
      <text>
        <r>
          <rPr>
            <sz val="10"/>
            <rFont val="Arial"/>
            <family val="2"/>
          </rPr>
          <t>For full time employees enter 1.0. If this employee is share between properties enter the proration factor i.e. work 3 days a week on this property enter 0.6.</t>
        </r>
      </text>
    </comment>
    <comment ref="H158" authorId="0" shapeId="0" xr:uid="{F01A21DC-E3F4-4A80-A2D9-81C7DE200B5F}">
      <text>
        <r>
          <rPr>
            <sz val="10"/>
            <rFont val="Arial"/>
            <family val="2"/>
          </rPr>
          <t>Enter the number of Instructor Lead trainings this employee will attend.</t>
        </r>
      </text>
    </comment>
    <comment ref="I158" authorId="3" shapeId="0" xr:uid="{366DE940-E8EA-4E81-A6DB-A116F4F85E61}">
      <text>
        <r>
          <rPr>
            <sz val="10"/>
            <rFont val="Arial"/>
            <family val="2"/>
          </rPr>
          <t>Enter the monthly amount to be reimbursed.
This will be added into salary.</t>
        </r>
      </text>
    </comment>
    <comment ref="R158" authorId="0" shapeId="0" xr:uid="{FE31041D-FA78-44D1-AB26-6BD6EC955F52}">
      <text>
        <r>
          <rPr>
            <sz val="10"/>
            <rFont val="Arial"/>
            <family val="2"/>
          </rPr>
          <t>If you want to include vacation in the budget, enter the number of weeks of vacation that will accrue for the year.  Consult with your client before budgeting vacation.</t>
        </r>
      </text>
    </comment>
    <comment ref="S159" authorId="0" shapeId="0" xr:uid="{284FD4CC-02BC-42D2-92E2-D77F1378DD19}">
      <text>
        <r>
          <rPr>
            <sz val="10"/>
            <rFont val="Arial"/>
            <family val="2"/>
          </rPr>
          <t>Enter here a variation in the monthly salary different from the calculated amount above.</t>
        </r>
      </text>
    </comment>
    <comment ref="T159" authorId="0" shapeId="0" xr:uid="{D547577C-5505-46A5-ABB6-9C37474928E1}">
      <text>
        <r>
          <rPr>
            <sz val="10"/>
            <rFont val="Arial"/>
            <family val="2"/>
          </rPr>
          <t>Enter here a variation in the monthly salary different from the calculated amount above.</t>
        </r>
      </text>
    </comment>
    <comment ref="U159" authorId="0" shapeId="0" xr:uid="{17690F30-B678-44F4-82B2-AF1B651B54C7}">
      <text>
        <r>
          <rPr>
            <sz val="10"/>
            <rFont val="Arial"/>
            <family val="2"/>
          </rPr>
          <t>Enter here a variation in the monthly salary different from the calculated amount above.</t>
        </r>
      </text>
    </comment>
    <comment ref="V159" authorId="0" shapeId="0" xr:uid="{C54E481E-C16D-4890-845A-177C92BCE000}">
      <text>
        <r>
          <rPr>
            <sz val="10"/>
            <rFont val="Arial"/>
            <family val="2"/>
          </rPr>
          <t>Enter here a variation in the monthly salary different from the calculated amount above.</t>
        </r>
      </text>
    </comment>
    <comment ref="W159" authorId="0" shapeId="0" xr:uid="{CD2C4ECF-B4A9-4B79-984F-4832028D85C4}">
      <text>
        <r>
          <rPr>
            <sz val="10"/>
            <rFont val="Arial"/>
            <family val="2"/>
          </rPr>
          <t>Enter here a variation in the monthly salary different from the calculated amount above.</t>
        </r>
      </text>
    </comment>
    <comment ref="X159" authorId="0" shapeId="0" xr:uid="{B3599CCD-2953-4582-A1A3-3D066CFBEA88}">
      <text>
        <r>
          <rPr>
            <sz val="10"/>
            <rFont val="Arial"/>
            <family val="2"/>
          </rPr>
          <t>Enter here a variation in the monthly salary different from the calculated amount above.</t>
        </r>
      </text>
    </comment>
    <comment ref="Y159" authorId="0" shapeId="0" xr:uid="{481FBC5F-BECA-411B-956D-2534AA44F818}">
      <text>
        <r>
          <rPr>
            <sz val="10"/>
            <rFont val="Arial"/>
            <family val="2"/>
          </rPr>
          <t>Enter here a variation in the monthly salary different from the calculated amount above.</t>
        </r>
      </text>
    </comment>
    <comment ref="Z159" authorId="0" shapeId="0" xr:uid="{226C3740-0426-46A7-BF5C-C303C9CCD8D9}">
      <text>
        <r>
          <rPr>
            <sz val="10"/>
            <rFont val="Arial"/>
            <family val="2"/>
          </rPr>
          <t>Enter here a variation in the monthly salary different from the calculated amount above.</t>
        </r>
      </text>
    </comment>
    <comment ref="AA159" authorId="0" shapeId="0" xr:uid="{84A4AA19-0D0F-42D5-807F-E1B946387C08}">
      <text>
        <r>
          <rPr>
            <sz val="10"/>
            <rFont val="Arial"/>
            <family val="2"/>
          </rPr>
          <t>Enter here a variation in the monthly salary different from the calculated amount above.</t>
        </r>
      </text>
    </comment>
    <comment ref="AB159" authorId="0" shapeId="0" xr:uid="{D9D28D2D-E180-4270-983B-C35926077DD6}">
      <text>
        <r>
          <rPr>
            <sz val="10"/>
            <rFont val="Arial"/>
            <family val="2"/>
          </rPr>
          <t>Enter here a variation in the monthly salary different from the calculated amount above.</t>
        </r>
      </text>
    </comment>
    <comment ref="AC159" authorId="0" shapeId="0" xr:uid="{CF060831-CC1E-4838-B6BC-29758095CA92}">
      <text>
        <r>
          <rPr>
            <sz val="10"/>
            <rFont val="Arial"/>
            <family val="2"/>
          </rPr>
          <t>Enter here a variation in the monthly salary different from the calculated amount above.</t>
        </r>
      </text>
    </comment>
    <comment ref="AD159" authorId="0" shapeId="0" xr:uid="{0A00F6AE-088D-4821-B40F-1F754AEAD9F3}">
      <text>
        <r>
          <rPr>
            <sz val="10"/>
            <rFont val="Arial"/>
            <family val="2"/>
          </rPr>
          <t>Enter here a variation in the monthly salary different from the calculated amount above.</t>
        </r>
      </text>
    </comment>
    <comment ref="F166" authorId="0" shapeId="0" xr:uid="{3F7E60F3-5339-4EEA-A1E8-1C5CABA8E169}">
      <text>
        <r>
          <rPr>
            <sz val="10"/>
            <rFont val="Arial"/>
            <family val="2"/>
          </rPr>
          <t>Enter a 1 if this property is this employees home property</t>
        </r>
      </text>
    </comment>
    <comment ref="G166" authorId="0" shapeId="0" xr:uid="{073BC8AC-62DD-4B15-B8EB-8DCF69B429B6}">
      <text>
        <r>
          <rPr>
            <sz val="10"/>
            <rFont val="Arial"/>
            <family val="2"/>
          </rPr>
          <t>For full time employees enter 1.0. If this employee is share between properties enter the proration factor i.e. work 3 days a week on this property enter 0.6.</t>
        </r>
      </text>
    </comment>
    <comment ref="H166" authorId="0" shapeId="0" xr:uid="{46C7B8E3-9981-4B33-947E-0F0329A02E22}">
      <text>
        <r>
          <rPr>
            <sz val="10"/>
            <rFont val="Arial"/>
            <family val="2"/>
          </rPr>
          <t>Enter the number of Instructor Lead trainings this employee will attend.</t>
        </r>
      </text>
    </comment>
    <comment ref="I166" authorId="3" shapeId="0" xr:uid="{4D78C8B8-1B03-42D7-B6E8-27712A25E2A6}">
      <text>
        <r>
          <rPr>
            <sz val="10"/>
            <rFont val="Arial"/>
            <family val="2"/>
          </rPr>
          <t>Enter the monthly amount to be reimbursed.
This will be added into salary.</t>
        </r>
      </text>
    </comment>
    <comment ref="R166" authorId="0" shapeId="0" xr:uid="{31334FDF-DA0A-40F1-9592-41A1156C0F77}">
      <text>
        <r>
          <rPr>
            <sz val="10"/>
            <rFont val="Arial"/>
            <family val="2"/>
          </rPr>
          <t>If you want to include vacation in the budget, enter the number of weeks of vacation that will accrue for the year.  Consult with your client before budgeting vacation.</t>
        </r>
      </text>
    </comment>
    <comment ref="S167" authorId="0" shapeId="0" xr:uid="{3C904991-65A3-4A60-8A02-EE53BF370FA5}">
      <text>
        <r>
          <rPr>
            <sz val="10"/>
            <rFont val="Arial"/>
            <family val="2"/>
          </rPr>
          <t>Enter here a variation in the monthly salary different from the calculated amount above.</t>
        </r>
      </text>
    </comment>
    <comment ref="T167" authorId="0" shapeId="0" xr:uid="{0F9945DA-76B4-4D1C-818B-792D80F4830C}">
      <text>
        <r>
          <rPr>
            <sz val="10"/>
            <rFont val="Arial"/>
            <family val="2"/>
          </rPr>
          <t>Enter here a variation in the monthly salary different from the calculated amount above.</t>
        </r>
      </text>
    </comment>
    <comment ref="U167" authorId="0" shapeId="0" xr:uid="{DFD3BA7A-AD06-4D88-9CEC-CDE9F5637E58}">
      <text>
        <r>
          <rPr>
            <sz val="10"/>
            <rFont val="Arial"/>
            <family val="2"/>
          </rPr>
          <t>Enter here a variation in the monthly salary different from the calculated amount above.</t>
        </r>
      </text>
    </comment>
    <comment ref="V167" authorId="0" shapeId="0" xr:uid="{F34AD54A-8305-4C80-8600-69E5FD6D29B9}">
      <text>
        <r>
          <rPr>
            <sz val="10"/>
            <rFont val="Arial"/>
            <family val="2"/>
          </rPr>
          <t>Enter here a variation in the monthly salary different from the calculated amount above.</t>
        </r>
      </text>
    </comment>
    <comment ref="W167" authorId="0" shapeId="0" xr:uid="{A659F5C7-4D75-41AA-A53E-47B6724C7EFC}">
      <text>
        <r>
          <rPr>
            <sz val="10"/>
            <rFont val="Arial"/>
            <family val="2"/>
          </rPr>
          <t>Enter here a variation in the monthly salary different from the calculated amount above.</t>
        </r>
      </text>
    </comment>
    <comment ref="X167" authorId="0" shapeId="0" xr:uid="{23F3E433-78EE-48CA-A567-BE6C16601187}">
      <text>
        <r>
          <rPr>
            <sz val="10"/>
            <rFont val="Arial"/>
            <family val="2"/>
          </rPr>
          <t>Enter here a variation in the monthly salary different from the calculated amount above.</t>
        </r>
      </text>
    </comment>
    <comment ref="Y167" authorId="0" shapeId="0" xr:uid="{933065DC-85A6-4C1C-BB5C-09039C5AE0B6}">
      <text>
        <r>
          <rPr>
            <sz val="10"/>
            <rFont val="Arial"/>
            <family val="2"/>
          </rPr>
          <t>Enter here a variation in the monthly salary different from the calculated amount above.</t>
        </r>
      </text>
    </comment>
    <comment ref="Z167" authorId="0" shapeId="0" xr:uid="{2382142D-4F4F-4F7F-AF42-5B5BC3C73AD8}">
      <text>
        <r>
          <rPr>
            <sz val="10"/>
            <rFont val="Arial"/>
            <family val="2"/>
          </rPr>
          <t>Enter here a variation in the monthly salary different from the calculated amount above.</t>
        </r>
      </text>
    </comment>
    <comment ref="AA167" authorId="0" shapeId="0" xr:uid="{F4E3961A-62FD-4D90-803F-793637EBF815}">
      <text>
        <r>
          <rPr>
            <sz val="10"/>
            <rFont val="Arial"/>
            <family val="2"/>
          </rPr>
          <t>Enter here a variation in the monthly salary different from the calculated amount above.</t>
        </r>
      </text>
    </comment>
    <comment ref="AB167" authorId="0" shapeId="0" xr:uid="{E866F62D-3253-4E69-97F5-0304EF0A46D4}">
      <text>
        <r>
          <rPr>
            <sz val="10"/>
            <rFont val="Arial"/>
            <family val="2"/>
          </rPr>
          <t>Enter here a variation in the monthly salary different from the calculated amount above.</t>
        </r>
      </text>
    </comment>
    <comment ref="AC167" authorId="0" shapeId="0" xr:uid="{A72DA141-1AF9-4040-A0C1-2778C5B4D0AC}">
      <text>
        <r>
          <rPr>
            <sz val="10"/>
            <rFont val="Arial"/>
            <family val="2"/>
          </rPr>
          <t>Enter here a variation in the monthly salary different from the calculated amount above.</t>
        </r>
      </text>
    </comment>
    <comment ref="AD167" authorId="0" shapeId="0" xr:uid="{584D8B07-4D76-4285-B4B7-EE0C1FC48664}">
      <text>
        <r>
          <rPr>
            <sz val="10"/>
            <rFont val="Arial"/>
            <family val="2"/>
          </rPr>
          <t>Enter here a variation in the monthly salary different from the calculated amount above.</t>
        </r>
      </text>
    </comment>
    <comment ref="F174" authorId="0" shapeId="0" xr:uid="{6F3E8AC2-3D91-4A37-980F-1AA3A5F7218C}">
      <text>
        <r>
          <rPr>
            <sz val="10"/>
            <rFont val="Arial"/>
            <family val="2"/>
          </rPr>
          <t>Enter a 1 if this property is this employees home property</t>
        </r>
      </text>
    </comment>
    <comment ref="G174" authorId="0" shapeId="0" xr:uid="{6F6A6398-5AA5-4004-9308-EA61A5E41607}">
      <text>
        <r>
          <rPr>
            <sz val="10"/>
            <rFont val="Arial"/>
            <family val="2"/>
          </rPr>
          <t>For full time employees enter 1.0. If this employee is share between properties enter the proration factor i.e. work 3 days a week on this property enter 0.6.</t>
        </r>
      </text>
    </comment>
    <comment ref="H174" authorId="0" shapeId="0" xr:uid="{18397886-6B6A-454F-B4FB-0643E815815F}">
      <text>
        <r>
          <rPr>
            <sz val="10"/>
            <rFont val="Arial"/>
            <family val="2"/>
          </rPr>
          <t>Enter the number of Instructor Lead trainings this employee will attend.</t>
        </r>
      </text>
    </comment>
    <comment ref="I174" authorId="3" shapeId="0" xr:uid="{C11CFFAF-6739-4F30-8E6C-722EF580D0FF}">
      <text>
        <r>
          <rPr>
            <sz val="10"/>
            <rFont val="Arial"/>
            <family val="2"/>
          </rPr>
          <t>Enter the monthly amount to be reimbursed.
This will be added into salary.</t>
        </r>
      </text>
    </comment>
    <comment ref="R174" authorId="0" shapeId="0" xr:uid="{C9D4141C-0612-4A68-BA75-D435B7997DFD}">
      <text>
        <r>
          <rPr>
            <sz val="10"/>
            <rFont val="Arial"/>
            <family val="2"/>
          </rPr>
          <t>If you want to include vacation in the budget, enter the number of weeks of vacation that will accrue for the year.  Consult with your client before budgeting vacation.</t>
        </r>
      </text>
    </comment>
    <comment ref="S175" authorId="0" shapeId="0" xr:uid="{8ACADA40-C708-4F2F-91B7-8849C3F9293C}">
      <text>
        <r>
          <rPr>
            <sz val="10"/>
            <rFont val="Arial"/>
            <family val="2"/>
          </rPr>
          <t>Enter here a variation in the monthly salary different from the calculated amount above.</t>
        </r>
      </text>
    </comment>
    <comment ref="T175" authorId="0" shapeId="0" xr:uid="{3236F9B0-0B1B-4D69-AD4F-7F6A207E96BA}">
      <text>
        <r>
          <rPr>
            <sz val="10"/>
            <rFont val="Arial"/>
            <family val="2"/>
          </rPr>
          <t>Enter here a variation in the monthly salary different from the calculated amount above.</t>
        </r>
      </text>
    </comment>
    <comment ref="U175" authorId="0" shapeId="0" xr:uid="{7E3D4DC4-81D7-4F2B-9465-03C0D4EE1572}">
      <text>
        <r>
          <rPr>
            <sz val="10"/>
            <rFont val="Arial"/>
            <family val="2"/>
          </rPr>
          <t>Enter here a variation in the monthly salary different from the calculated amount above.</t>
        </r>
      </text>
    </comment>
    <comment ref="V175" authorId="0" shapeId="0" xr:uid="{9ABEA39A-8984-4FEC-BCE7-61BF43AD3F32}">
      <text>
        <r>
          <rPr>
            <sz val="10"/>
            <rFont val="Arial"/>
            <family val="2"/>
          </rPr>
          <t>Enter here a variation in the monthly salary different from the calculated amount above.</t>
        </r>
      </text>
    </comment>
    <comment ref="W175" authorId="0" shapeId="0" xr:uid="{C6382699-8567-456D-B27B-A5F8555D4821}">
      <text>
        <r>
          <rPr>
            <sz val="10"/>
            <rFont val="Arial"/>
            <family val="2"/>
          </rPr>
          <t>Enter here a variation in the monthly salary different from the calculated amount above.</t>
        </r>
      </text>
    </comment>
    <comment ref="X175" authorId="0" shapeId="0" xr:uid="{B850820C-C778-4E02-84AA-7704D5AAAA1D}">
      <text>
        <r>
          <rPr>
            <sz val="10"/>
            <rFont val="Arial"/>
            <family val="2"/>
          </rPr>
          <t>Enter here a variation in the monthly salary different from the calculated amount above.</t>
        </r>
      </text>
    </comment>
    <comment ref="Y175" authorId="0" shapeId="0" xr:uid="{BE7DEFB4-4905-4F6D-BD10-162EE75FAD9F}">
      <text>
        <r>
          <rPr>
            <sz val="10"/>
            <rFont val="Arial"/>
            <family val="2"/>
          </rPr>
          <t>Enter here a variation in the monthly salary different from the calculated amount above.</t>
        </r>
      </text>
    </comment>
    <comment ref="Z175" authorId="0" shapeId="0" xr:uid="{759CC660-886F-47F9-8034-618D9200DB72}">
      <text>
        <r>
          <rPr>
            <sz val="10"/>
            <rFont val="Arial"/>
            <family val="2"/>
          </rPr>
          <t>Enter here a variation in the monthly salary different from the calculated amount above.</t>
        </r>
      </text>
    </comment>
    <comment ref="AA175" authorId="0" shapeId="0" xr:uid="{9ADEEBC1-A754-4875-9AD5-E43298F8A008}">
      <text>
        <r>
          <rPr>
            <sz val="10"/>
            <rFont val="Arial"/>
            <family val="2"/>
          </rPr>
          <t>Enter here a variation in the monthly salary different from the calculated amount above.</t>
        </r>
      </text>
    </comment>
    <comment ref="AB175" authorId="0" shapeId="0" xr:uid="{A4CCEE5F-503D-4470-B551-C8B6CF5F6886}">
      <text>
        <r>
          <rPr>
            <sz val="10"/>
            <rFont val="Arial"/>
            <family val="2"/>
          </rPr>
          <t>Enter here a variation in the monthly salary different from the calculated amount above.</t>
        </r>
      </text>
    </comment>
    <comment ref="AC175" authorId="0" shapeId="0" xr:uid="{4C236DC7-8B6B-49FB-8F42-86D60AF618F0}">
      <text>
        <r>
          <rPr>
            <sz val="10"/>
            <rFont val="Arial"/>
            <family val="2"/>
          </rPr>
          <t>Enter here a variation in the monthly salary different from the calculated amount above.</t>
        </r>
      </text>
    </comment>
    <comment ref="AD175" authorId="0" shapeId="0" xr:uid="{9757828D-10C5-49A6-B7E9-EB346854CD70}">
      <text>
        <r>
          <rPr>
            <sz val="10"/>
            <rFont val="Arial"/>
            <family val="2"/>
          </rPr>
          <t>Enter here a variation in the monthly salary different from the calculated amount above.</t>
        </r>
      </text>
    </comment>
    <comment ref="F182" authorId="0" shapeId="0" xr:uid="{D52EDEE8-1610-4F0D-9D4A-A8F512C34CE0}">
      <text>
        <r>
          <rPr>
            <sz val="10"/>
            <rFont val="Arial"/>
            <family val="2"/>
          </rPr>
          <t>Enter a 1 if this property is this employees home property</t>
        </r>
      </text>
    </comment>
    <comment ref="G182" authorId="0" shapeId="0" xr:uid="{A12C0C6D-7632-4E86-8894-8F893E00760A}">
      <text>
        <r>
          <rPr>
            <sz val="10"/>
            <rFont val="Arial"/>
            <family val="2"/>
          </rPr>
          <t>For full time employees enter 1.0. If this employee is share between properties enter the proration factor i.e. work 3 days a week on this property enter 0.6.</t>
        </r>
      </text>
    </comment>
    <comment ref="H182" authorId="0" shapeId="0" xr:uid="{FAB81E71-E72D-4F3B-8FA7-521AD571748F}">
      <text>
        <r>
          <rPr>
            <sz val="10"/>
            <rFont val="Arial"/>
            <family val="2"/>
          </rPr>
          <t>Enter the number of Instructor Lead trainings this employee will attend.</t>
        </r>
      </text>
    </comment>
    <comment ref="I182" authorId="3" shapeId="0" xr:uid="{7160D7D5-F93C-4D14-8B17-19936DEF5E3D}">
      <text>
        <r>
          <rPr>
            <sz val="10"/>
            <rFont val="Arial"/>
            <family val="2"/>
          </rPr>
          <t>Enter the monthly amount to be reimbursed.
This will be added into salary.</t>
        </r>
      </text>
    </comment>
    <comment ref="R182" authorId="0" shapeId="0" xr:uid="{83A8BDF8-AE16-473F-AAA8-ED3D41A1A75A}">
      <text>
        <r>
          <rPr>
            <sz val="10"/>
            <rFont val="Arial"/>
            <family val="2"/>
          </rPr>
          <t>If you want to include vacation in the budget, enter the number of weeks of vacation that will accrue for the year.  Consult with your client before budgeting vacation.</t>
        </r>
      </text>
    </comment>
    <comment ref="S183" authorId="0" shapeId="0" xr:uid="{2709C1B3-2D69-4E5A-A64F-4798D3327B39}">
      <text>
        <r>
          <rPr>
            <sz val="10"/>
            <rFont val="Arial"/>
            <family val="2"/>
          </rPr>
          <t>Enter here a variation in the monthly salary different from the calculated amount above.</t>
        </r>
      </text>
    </comment>
    <comment ref="T183" authorId="0" shapeId="0" xr:uid="{F25519DE-A9E1-4C65-98D0-74E147C3819E}">
      <text>
        <r>
          <rPr>
            <sz val="10"/>
            <rFont val="Arial"/>
            <family val="2"/>
          </rPr>
          <t>Enter here a variation in the monthly salary different from the calculated amount above.</t>
        </r>
      </text>
    </comment>
    <comment ref="U183" authorId="0" shapeId="0" xr:uid="{1BFBBC38-CF51-4DA2-BC7C-787C888122EE}">
      <text>
        <r>
          <rPr>
            <sz val="10"/>
            <rFont val="Arial"/>
            <family val="2"/>
          </rPr>
          <t>Enter here a variation in the monthly salary different from the calculated amount above.</t>
        </r>
      </text>
    </comment>
    <comment ref="V183" authorId="0" shapeId="0" xr:uid="{6CE369A9-0D4E-42AD-BD0B-43CD539B5E22}">
      <text>
        <r>
          <rPr>
            <sz val="10"/>
            <rFont val="Arial"/>
            <family val="2"/>
          </rPr>
          <t>Enter here a variation in the monthly salary different from the calculated amount above.</t>
        </r>
      </text>
    </comment>
    <comment ref="W183" authorId="0" shapeId="0" xr:uid="{AAD9018F-F318-4B5B-A35B-863FF8527817}">
      <text>
        <r>
          <rPr>
            <sz val="10"/>
            <rFont val="Arial"/>
            <family val="2"/>
          </rPr>
          <t>Enter here a variation in the monthly salary different from the calculated amount above.</t>
        </r>
      </text>
    </comment>
    <comment ref="X183" authorId="0" shapeId="0" xr:uid="{15DDF821-3C2D-4AAC-91B7-449BA6BA79AB}">
      <text>
        <r>
          <rPr>
            <sz val="10"/>
            <rFont val="Arial"/>
            <family val="2"/>
          </rPr>
          <t>Enter here a variation in the monthly salary different from the calculated amount above.</t>
        </r>
      </text>
    </comment>
    <comment ref="Y183" authorId="0" shapeId="0" xr:uid="{633C9E1E-BC81-448F-83FD-7180B0C07F0C}">
      <text>
        <r>
          <rPr>
            <sz val="10"/>
            <rFont val="Arial"/>
            <family val="2"/>
          </rPr>
          <t>Enter here a variation in the monthly salary different from the calculated amount above.</t>
        </r>
      </text>
    </comment>
    <comment ref="Z183" authorId="0" shapeId="0" xr:uid="{58046491-5173-4843-B746-8F1F3DC02D39}">
      <text>
        <r>
          <rPr>
            <sz val="10"/>
            <rFont val="Arial"/>
            <family val="2"/>
          </rPr>
          <t>Enter here a variation in the monthly salary different from the calculated amount above.</t>
        </r>
      </text>
    </comment>
    <comment ref="AA183" authorId="0" shapeId="0" xr:uid="{24228973-3968-41A3-9E0E-AFD6D83B7512}">
      <text>
        <r>
          <rPr>
            <sz val="10"/>
            <rFont val="Arial"/>
            <family val="2"/>
          </rPr>
          <t>Enter here a variation in the monthly salary different from the calculated amount above.</t>
        </r>
      </text>
    </comment>
    <comment ref="AB183" authorId="0" shapeId="0" xr:uid="{628ED43E-3906-4CB0-BA2A-49352625ABB5}">
      <text>
        <r>
          <rPr>
            <sz val="10"/>
            <rFont val="Arial"/>
            <family val="2"/>
          </rPr>
          <t>Enter here a variation in the monthly salary different from the calculated amount above.</t>
        </r>
      </text>
    </comment>
    <comment ref="AC183" authorId="0" shapeId="0" xr:uid="{91565D83-C673-450A-9D84-393CB0C70790}">
      <text>
        <r>
          <rPr>
            <sz val="10"/>
            <rFont val="Arial"/>
            <family val="2"/>
          </rPr>
          <t>Enter here a variation in the monthly salary different from the calculated amount above.</t>
        </r>
      </text>
    </comment>
    <comment ref="AD183" authorId="0" shapeId="0" xr:uid="{D1D58F2C-C417-4501-9086-4091D029C08E}">
      <text>
        <r>
          <rPr>
            <sz val="10"/>
            <rFont val="Arial"/>
            <family val="2"/>
          </rPr>
          <t>Enter here a variation in the monthly salary different from the calculated amount above.</t>
        </r>
      </text>
    </comment>
    <comment ref="F190" authorId="0" shapeId="0" xr:uid="{AA6A06F9-6A3E-4A14-982C-6229AABA0E7A}">
      <text>
        <r>
          <rPr>
            <sz val="10"/>
            <rFont val="Arial"/>
            <family val="2"/>
          </rPr>
          <t>Enter a 1 if this property is this employees home property</t>
        </r>
      </text>
    </comment>
    <comment ref="G190" authorId="0" shapeId="0" xr:uid="{B9474AE9-CFDB-4665-A32A-1525FC8422CC}">
      <text>
        <r>
          <rPr>
            <sz val="10"/>
            <rFont val="Arial"/>
            <family val="2"/>
          </rPr>
          <t>For full time employees enter 1.0. If this employee is share between properties enter the proration factor i.e. work 3 days a week on this property enter 0.6.</t>
        </r>
      </text>
    </comment>
    <comment ref="H190" authorId="0" shapeId="0" xr:uid="{2B59E277-0BCC-4E96-AE1C-7052D064AEA3}">
      <text>
        <r>
          <rPr>
            <sz val="10"/>
            <rFont val="Arial"/>
            <family val="2"/>
          </rPr>
          <t>Enter the number of Instructor Lead trainings this employee will attend.</t>
        </r>
      </text>
    </comment>
    <comment ref="I190" authorId="3" shapeId="0" xr:uid="{3FB62B19-9F49-4720-AA55-360BE21A4474}">
      <text>
        <r>
          <rPr>
            <sz val="10"/>
            <rFont val="Arial"/>
            <family val="2"/>
          </rPr>
          <t>Enter the monthly amount to be reimbursed.
This will be added into salary.</t>
        </r>
      </text>
    </comment>
    <comment ref="R190" authorId="0" shapeId="0" xr:uid="{AF87D5D4-35C4-4B42-B1E7-0B8FEC3AB70B}">
      <text>
        <r>
          <rPr>
            <sz val="10"/>
            <rFont val="Arial"/>
            <family val="2"/>
          </rPr>
          <t>If you want to include vacation in the budget, enter the number of weeks of vacation that will accrue for the year.  Consult with your client before budgeting vacation.</t>
        </r>
      </text>
    </comment>
    <comment ref="S191" authorId="0" shapeId="0" xr:uid="{D714BBB1-6C99-4F7B-9B84-9777FBD79F0A}">
      <text>
        <r>
          <rPr>
            <sz val="10"/>
            <rFont val="Arial"/>
            <family val="2"/>
          </rPr>
          <t>Enter here a variation in the monthly salary different from the calculated amount above.</t>
        </r>
      </text>
    </comment>
    <comment ref="T191" authorId="0" shapeId="0" xr:uid="{40690B27-FF47-45DA-909E-4E029A1E7ED1}">
      <text>
        <r>
          <rPr>
            <sz val="10"/>
            <rFont val="Arial"/>
            <family val="2"/>
          </rPr>
          <t>Enter here a variation in the monthly salary different from the calculated amount above.</t>
        </r>
      </text>
    </comment>
    <comment ref="U191" authorId="0" shapeId="0" xr:uid="{FF7123AF-9051-4DDC-9868-877B8915F46A}">
      <text>
        <r>
          <rPr>
            <sz val="10"/>
            <rFont val="Arial"/>
            <family val="2"/>
          </rPr>
          <t>Enter here a variation in the monthly salary different from the calculated amount above.</t>
        </r>
      </text>
    </comment>
    <comment ref="V191" authorId="0" shapeId="0" xr:uid="{85AEFF1E-E615-4A87-8D5E-3354EA5F0923}">
      <text>
        <r>
          <rPr>
            <sz val="10"/>
            <rFont val="Arial"/>
            <family val="2"/>
          </rPr>
          <t>Enter here a variation in the monthly salary different from the calculated amount above.</t>
        </r>
      </text>
    </comment>
    <comment ref="W191" authorId="0" shapeId="0" xr:uid="{7D16C3E3-2AEC-4618-92CD-684F1BFA8647}">
      <text>
        <r>
          <rPr>
            <sz val="10"/>
            <rFont val="Arial"/>
            <family val="2"/>
          </rPr>
          <t>Enter here a variation in the monthly salary different from the calculated amount above.</t>
        </r>
      </text>
    </comment>
    <comment ref="X191" authorId="0" shapeId="0" xr:uid="{A4E392E6-67EB-403C-8BB8-ABA6627B564C}">
      <text>
        <r>
          <rPr>
            <sz val="10"/>
            <rFont val="Arial"/>
            <family val="2"/>
          </rPr>
          <t>Enter here a variation in the monthly salary different from the calculated amount above.</t>
        </r>
      </text>
    </comment>
    <comment ref="Y191" authorId="0" shapeId="0" xr:uid="{B4DA6376-7B74-4DB4-8898-F6E0E9792C3A}">
      <text>
        <r>
          <rPr>
            <sz val="10"/>
            <rFont val="Arial"/>
            <family val="2"/>
          </rPr>
          <t>Enter here a variation in the monthly salary different from the calculated amount above.</t>
        </r>
      </text>
    </comment>
    <comment ref="Z191" authorId="0" shapeId="0" xr:uid="{A832F0BC-6C3F-4A56-9702-0046B240E895}">
      <text>
        <r>
          <rPr>
            <sz val="10"/>
            <rFont val="Arial"/>
            <family val="2"/>
          </rPr>
          <t>Enter here a variation in the monthly salary different from the calculated amount above.</t>
        </r>
      </text>
    </comment>
    <comment ref="AA191" authorId="0" shapeId="0" xr:uid="{BDD76DB6-0C64-4790-BCBF-53658EFFB3B4}">
      <text>
        <r>
          <rPr>
            <sz val="10"/>
            <rFont val="Arial"/>
            <family val="2"/>
          </rPr>
          <t>Enter here a variation in the monthly salary different from the calculated amount above.</t>
        </r>
      </text>
    </comment>
    <comment ref="AB191" authorId="0" shapeId="0" xr:uid="{158DD017-1F37-4BA4-9BD7-817A24035E4E}">
      <text>
        <r>
          <rPr>
            <sz val="10"/>
            <rFont val="Arial"/>
            <family val="2"/>
          </rPr>
          <t>Enter here a variation in the monthly salary different from the calculated amount above.</t>
        </r>
      </text>
    </comment>
    <comment ref="AC191" authorId="0" shapeId="0" xr:uid="{2C715D08-FA72-46C5-BBB1-45DFBAC592C8}">
      <text>
        <r>
          <rPr>
            <sz val="10"/>
            <rFont val="Arial"/>
            <family val="2"/>
          </rPr>
          <t>Enter here a variation in the monthly salary different from the calculated amount above.</t>
        </r>
      </text>
    </comment>
    <comment ref="AD191" authorId="0" shapeId="0" xr:uid="{07AB10E5-1CE7-4B1B-AA1A-93EE5CA111E1}">
      <text>
        <r>
          <rPr>
            <sz val="10"/>
            <rFont val="Arial"/>
            <family val="2"/>
          </rPr>
          <t>Enter here a variation in the monthly salary different from the calculated amount above.</t>
        </r>
      </text>
    </comment>
    <comment ref="F198" authorId="0" shapeId="0" xr:uid="{1B86B7BF-8647-4CD4-9A02-A03D742FE5BD}">
      <text>
        <r>
          <rPr>
            <sz val="10"/>
            <rFont val="Arial"/>
            <family val="2"/>
          </rPr>
          <t>Enter a 1 if this property is this employees home property</t>
        </r>
      </text>
    </comment>
    <comment ref="G198" authorId="0" shapeId="0" xr:uid="{212B0114-707B-4EB3-BA23-3ADD55CA7D1B}">
      <text>
        <r>
          <rPr>
            <sz val="10"/>
            <rFont val="Arial"/>
            <family val="2"/>
          </rPr>
          <t>For full time employees enter 1.0. If this employee is share between properties enter the proration factor i.e. work 3 days a week on this property enter 0.6.</t>
        </r>
      </text>
    </comment>
    <comment ref="H198" authorId="0" shapeId="0" xr:uid="{E0A691C0-1844-4841-99D3-201FADDC6835}">
      <text>
        <r>
          <rPr>
            <sz val="10"/>
            <rFont val="Arial"/>
            <family val="2"/>
          </rPr>
          <t>Enter the number of Instructor Lead trainings this employee will attend.</t>
        </r>
      </text>
    </comment>
    <comment ref="I198" authorId="3" shapeId="0" xr:uid="{5D36D52E-D1C2-47FF-B800-9EF43E184E21}">
      <text>
        <r>
          <rPr>
            <sz val="10"/>
            <rFont val="Arial"/>
            <family val="2"/>
          </rPr>
          <t>Enter the monthly amount to be reimbursed.
This will be added into salary.</t>
        </r>
      </text>
    </comment>
    <comment ref="R198" authorId="0" shapeId="0" xr:uid="{78AF18B1-D72C-45E8-AA18-F56F355EF8B5}">
      <text>
        <r>
          <rPr>
            <sz val="10"/>
            <rFont val="Arial"/>
            <family val="2"/>
          </rPr>
          <t>If you want to include vacation in the budget, enter the number of weeks of vacation that will accrue for the year.  Consult with your client before budgeting vacation.</t>
        </r>
      </text>
    </comment>
    <comment ref="S199" authorId="0" shapeId="0" xr:uid="{5CCF50C4-F199-427F-8877-5DCD51C833D6}">
      <text>
        <r>
          <rPr>
            <sz val="10"/>
            <rFont val="Arial"/>
            <family val="2"/>
          </rPr>
          <t>Enter here a variation in the monthly salary different from the calculated amount above.</t>
        </r>
      </text>
    </comment>
    <comment ref="T199" authorId="0" shapeId="0" xr:uid="{917FE38F-FD63-4EB7-B362-701900C72224}">
      <text>
        <r>
          <rPr>
            <sz val="10"/>
            <rFont val="Arial"/>
            <family val="2"/>
          </rPr>
          <t>Enter here a variation in the monthly salary different from the calculated amount above.</t>
        </r>
      </text>
    </comment>
    <comment ref="U199" authorId="0" shapeId="0" xr:uid="{45677D4B-084F-4257-BAAE-1D814D29B905}">
      <text>
        <r>
          <rPr>
            <sz val="10"/>
            <rFont val="Arial"/>
            <family val="2"/>
          </rPr>
          <t>Enter here a variation in the monthly salary different from the calculated amount above.</t>
        </r>
      </text>
    </comment>
    <comment ref="V199" authorId="0" shapeId="0" xr:uid="{455B66B1-C795-45B7-B82C-BA30D040C4B3}">
      <text>
        <r>
          <rPr>
            <sz val="10"/>
            <rFont val="Arial"/>
            <family val="2"/>
          </rPr>
          <t>Enter here a variation in the monthly salary different from the calculated amount above.</t>
        </r>
      </text>
    </comment>
    <comment ref="W199" authorId="0" shapeId="0" xr:uid="{75530AF5-6EFC-46A2-BA6C-DF1B56F5CDDE}">
      <text>
        <r>
          <rPr>
            <sz val="10"/>
            <rFont val="Arial"/>
            <family val="2"/>
          </rPr>
          <t>Enter here a variation in the monthly salary different from the calculated amount above.</t>
        </r>
      </text>
    </comment>
    <comment ref="X199" authorId="0" shapeId="0" xr:uid="{7191F67D-6E7A-4C61-B55C-739916D322B5}">
      <text>
        <r>
          <rPr>
            <sz val="10"/>
            <rFont val="Arial"/>
            <family val="2"/>
          </rPr>
          <t>Enter here a variation in the monthly salary different from the calculated amount above.</t>
        </r>
      </text>
    </comment>
    <comment ref="Y199" authorId="0" shapeId="0" xr:uid="{D2BB744B-5669-42A9-B2F5-ED378D088805}">
      <text>
        <r>
          <rPr>
            <sz val="10"/>
            <rFont val="Arial"/>
            <family val="2"/>
          </rPr>
          <t>Enter here a variation in the monthly salary different from the calculated amount above.</t>
        </r>
      </text>
    </comment>
    <comment ref="Z199" authorId="0" shapeId="0" xr:uid="{859041C1-1CCF-4F79-8DEB-FE59914B9351}">
      <text>
        <r>
          <rPr>
            <sz val="10"/>
            <rFont val="Arial"/>
            <family val="2"/>
          </rPr>
          <t>Enter here a variation in the monthly salary different from the calculated amount above.</t>
        </r>
      </text>
    </comment>
    <comment ref="AA199" authorId="0" shapeId="0" xr:uid="{A2786295-A0FA-45AD-A42A-EA418C8AE844}">
      <text>
        <r>
          <rPr>
            <sz val="10"/>
            <rFont val="Arial"/>
            <family val="2"/>
          </rPr>
          <t>Enter here a variation in the monthly salary different from the calculated amount above.</t>
        </r>
      </text>
    </comment>
    <comment ref="AB199" authorId="0" shapeId="0" xr:uid="{1BF903BE-41CF-4FAA-BC4F-64EC39603B68}">
      <text>
        <r>
          <rPr>
            <sz val="10"/>
            <rFont val="Arial"/>
            <family val="2"/>
          </rPr>
          <t>Enter here a variation in the monthly salary different from the calculated amount above.</t>
        </r>
      </text>
    </comment>
    <comment ref="AC199" authorId="0" shapeId="0" xr:uid="{624F4F2F-5A3A-4786-A354-111C40C12AF7}">
      <text>
        <r>
          <rPr>
            <sz val="10"/>
            <rFont val="Arial"/>
            <family val="2"/>
          </rPr>
          <t>Enter here a variation in the monthly salary different from the calculated amount above.</t>
        </r>
      </text>
    </comment>
    <comment ref="AD199" authorId="0" shapeId="0" xr:uid="{D6C66120-7067-4E8B-93AD-883292020DF3}">
      <text>
        <r>
          <rPr>
            <sz val="10"/>
            <rFont val="Arial"/>
            <family val="2"/>
          </rPr>
          <t>Enter here a variation in the monthly salary different from the calculated amount above.</t>
        </r>
      </text>
    </comment>
    <comment ref="F206" authorId="0" shapeId="0" xr:uid="{E17E4C35-FF54-491E-A190-900B23FB1474}">
      <text>
        <r>
          <rPr>
            <sz val="10"/>
            <rFont val="Arial"/>
            <family val="2"/>
          </rPr>
          <t>Enter a 1 if this property is this employees home property</t>
        </r>
      </text>
    </comment>
    <comment ref="G206" authorId="0" shapeId="0" xr:uid="{D48E5862-C8D0-41ED-B1F2-0DC34B7F6A25}">
      <text>
        <r>
          <rPr>
            <sz val="10"/>
            <rFont val="Arial"/>
            <family val="2"/>
          </rPr>
          <t>For full time employees enter 1.0. If this employee is share between properties enter the proration factor i.e. work 3 days a week on this property enter 0.6.</t>
        </r>
      </text>
    </comment>
    <comment ref="H206" authorId="0" shapeId="0" xr:uid="{F0353629-CD25-4720-89C3-05B2C8042693}">
      <text>
        <r>
          <rPr>
            <sz val="10"/>
            <rFont val="Arial"/>
            <family val="2"/>
          </rPr>
          <t>Enter the number of Instructor Lead trainings this employee will attend.</t>
        </r>
      </text>
    </comment>
    <comment ref="I206" authorId="3" shapeId="0" xr:uid="{2D47C591-984D-4E81-AFB0-BD13CE27BC4A}">
      <text>
        <r>
          <rPr>
            <sz val="10"/>
            <rFont val="Arial"/>
            <family val="2"/>
          </rPr>
          <t>Enter the monthly amount to be reimbursed.
This will be added into salary.</t>
        </r>
      </text>
    </comment>
    <comment ref="R206" authorId="0" shapeId="0" xr:uid="{AF0283E1-7121-4C5A-9CB3-E2914772DA7C}">
      <text>
        <r>
          <rPr>
            <sz val="10"/>
            <rFont val="Arial"/>
            <family val="2"/>
          </rPr>
          <t>If you want to include vacation in the budget, enter the number of weeks of vacation that will accrue for the year.  Consult with your client before budgeting vacation.</t>
        </r>
      </text>
    </comment>
    <comment ref="S207" authorId="0" shapeId="0" xr:uid="{E7EAC0F2-EA78-48AF-8189-22482E217CF9}">
      <text>
        <r>
          <rPr>
            <sz val="10"/>
            <rFont val="Arial"/>
            <family val="2"/>
          </rPr>
          <t>Enter here a variation in the monthly salary different from the calculated amount above.</t>
        </r>
      </text>
    </comment>
    <comment ref="T207" authorId="0" shapeId="0" xr:uid="{8F0DA3C2-78A9-4C56-A424-182D02B507D3}">
      <text>
        <r>
          <rPr>
            <sz val="10"/>
            <rFont val="Arial"/>
            <family val="2"/>
          </rPr>
          <t>Enter here a variation in the monthly salary different from the calculated amount above.</t>
        </r>
      </text>
    </comment>
    <comment ref="U207" authorId="0" shapeId="0" xr:uid="{2001D501-4CDF-4A27-A1B9-9120FA63523C}">
      <text>
        <r>
          <rPr>
            <sz val="10"/>
            <rFont val="Arial"/>
            <family val="2"/>
          </rPr>
          <t>Enter here a variation in the monthly salary different from the calculated amount above.</t>
        </r>
      </text>
    </comment>
    <comment ref="V207" authorId="0" shapeId="0" xr:uid="{33E78BE9-02FC-4A3D-9E1A-EB84E6EFE234}">
      <text>
        <r>
          <rPr>
            <sz val="10"/>
            <rFont val="Arial"/>
            <family val="2"/>
          </rPr>
          <t>Enter here a variation in the monthly salary different from the calculated amount above.</t>
        </r>
      </text>
    </comment>
    <comment ref="W207" authorId="0" shapeId="0" xr:uid="{2C120E7F-279C-49BC-819C-9ECF6D773FED}">
      <text>
        <r>
          <rPr>
            <sz val="10"/>
            <rFont val="Arial"/>
            <family val="2"/>
          </rPr>
          <t>Enter here a variation in the monthly salary different from the calculated amount above.</t>
        </r>
      </text>
    </comment>
    <comment ref="X207" authorId="0" shapeId="0" xr:uid="{5ABED71C-C45B-4DE5-94B3-759247D493EF}">
      <text>
        <r>
          <rPr>
            <sz val="10"/>
            <rFont val="Arial"/>
            <family val="2"/>
          </rPr>
          <t>Enter here a variation in the monthly salary different from the calculated amount above.</t>
        </r>
      </text>
    </comment>
    <comment ref="Y207" authorId="0" shapeId="0" xr:uid="{6AE65488-BAE9-4FCA-8066-39CF7CA72B0E}">
      <text>
        <r>
          <rPr>
            <sz val="10"/>
            <rFont val="Arial"/>
            <family val="2"/>
          </rPr>
          <t>Enter here a variation in the monthly salary different from the calculated amount above.</t>
        </r>
      </text>
    </comment>
    <comment ref="Z207" authorId="0" shapeId="0" xr:uid="{0A77721E-3DAB-462A-A851-CB3671057762}">
      <text>
        <r>
          <rPr>
            <sz val="10"/>
            <rFont val="Arial"/>
            <family val="2"/>
          </rPr>
          <t>Enter here a variation in the monthly salary different from the calculated amount above.</t>
        </r>
      </text>
    </comment>
    <comment ref="AA207" authorId="0" shapeId="0" xr:uid="{B64A76C5-644D-4039-8AB1-AA66063C9896}">
      <text>
        <r>
          <rPr>
            <sz val="10"/>
            <rFont val="Arial"/>
            <family val="2"/>
          </rPr>
          <t>Enter here a variation in the monthly salary different from the calculated amount above.</t>
        </r>
      </text>
    </comment>
    <comment ref="AB207" authorId="0" shapeId="0" xr:uid="{7D2B7509-4A82-4CDC-9CC0-E32B43757551}">
      <text>
        <r>
          <rPr>
            <sz val="10"/>
            <rFont val="Arial"/>
            <family val="2"/>
          </rPr>
          <t>Enter here a variation in the monthly salary different from the calculated amount above.</t>
        </r>
      </text>
    </comment>
    <comment ref="AC207" authorId="0" shapeId="0" xr:uid="{09239E26-EE59-4A3D-894E-ECB7C211A76E}">
      <text>
        <r>
          <rPr>
            <sz val="10"/>
            <rFont val="Arial"/>
            <family val="2"/>
          </rPr>
          <t>Enter here a variation in the monthly salary different from the calculated amount above.</t>
        </r>
      </text>
    </comment>
    <comment ref="AD207" authorId="0" shapeId="0" xr:uid="{9012DB8D-9826-4D26-A78C-33C151F1C835}">
      <text>
        <r>
          <rPr>
            <sz val="10"/>
            <rFont val="Arial"/>
            <family val="2"/>
          </rPr>
          <t>Enter here a variation in the monthly salary different from the calculated amount above.</t>
        </r>
      </text>
    </comment>
    <comment ref="F214" authorId="0" shapeId="0" xr:uid="{F16AEE94-8205-4E97-9E9D-3C29CB48F58A}">
      <text>
        <r>
          <rPr>
            <sz val="10"/>
            <rFont val="Arial"/>
            <family val="2"/>
          </rPr>
          <t>Enter a 1 if this property is this employees home property</t>
        </r>
      </text>
    </comment>
    <comment ref="G214" authorId="0" shapeId="0" xr:uid="{01C9CB75-86B8-45D4-BC08-EF42E2F5EC4A}">
      <text>
        <r>
          <rPr>
            <sz val="10"/>
            <rFont val="Arial"/>
            <family val="2"/>
          </rPr>
          <t>For full time employees enter 1.0. If this employee is share between properties enter the proration factor i.e. work 3 days a week on this property enter 0.6.</t>
        </r>
      </text>
    </comment>
    <comment ref="H214" authorId="0" shapeId="0" xr:uid="{40655DDE-008A-4B97-88F1-1183AE2A0058}">
      <text>
        <r>
          <rPr>
            <sz val="10"/>
            <rFont val="Arial"/>
            <family val="2"/>
          </rPr>
          <t>Enter the number of Instructor Lead trainings this employee will attend.</t>
        </r>
      </text>
    </comment>
    <comment ref="I214" authorId="3" shapeId="0" xr:uid="{2E42B7B4-25E2-45B0-9E31-72ACD66C17DB}">
      <text>
        <r>
          <rPr>
            <sz val="10"/>
            <rFont val="Arial"/>
            <family val="2"/>
          </rPr>
          <t>Enter the monthly amount to be reimbursed.
This will be added into salary.</t>
        </r>
      </text>
    </comment>
    <comment ref="R214" authorId="0" shapeId="0" xr:uid="{9B62B37E-0723-4D5E-ACE9-AD9DBBB511AA}">
      <text>
        <r>
          <rPr>
            <sz val="10"/>
            <rFont val="Arial"/>
            <family val="2"/>
          </rPr>
          <t>If you want to include vacation in the budget, enter the number of weeks of vacation that will accrue for the year.  Consult with your client before budgeting vacation.</t>
        </r>
      </text>
    </comment>
    <comment ref="S215" authorId="0" shapeId="0" xr:uid="{E2E789AF-A640-405B-A55E-FC187A3BF2E3}">
      <text>
        <r>
          <rPr>
            <sz val="10"/>
            <rFont val="Arial"/>
            <family val="2"/>
          </rPr>
          <t>Enter here a variation in the monthly salary different from the calculated amount above.</t>
        </r>
      </text>
    </comment>
    <comment ref="T215" authorId="0" shapeId="0" xr:uid="{624F5E43-0D86-4E16-90E4-04A18C92E107}">
      <text>
        <r>
          <rPr>
            <sz val="10"/>
            <rFont val="Arial"/>
            <family val="2"/>
          </rPr>
          <t>Enter here a variation in the monthly salary different from the calculated amount above.</t>
        </r>
      </text>
    </comment>
    <comment ref="U215" authorId="0" shapeId="0" xr:uid="{04B40AD2-09C9-442C-B599-18BCEF633CEF}">
      <text>
        <r>
          <rPr>
            <sz val="10"/>
            <rFont val="Arial"/>
            <family val="2"/>
          </rPr>
          <t>Enter here a variation in the monthly salary different from the calculated amount above.</t>
        </r>
      </text>
    </comment>
    <comment ref="V215" authorId="0" shapeId="0" xr:uid="{A292D53A-6494-4AB2-A046-B7ACA6943DDD}">
      <text>
        <r>
          <rPr>
            <sz val="10"/>
            <rFont val="Arial"/>
            <family val="2"/>
          </rPr>
          <t>Enter here a variation in the monthly salary different from the calculated amount above.</t>
        </r>
      </text>
    </comment>
    <comment ref="W215" authorId="0" shapeId="0" xr:uid="{306462E5-78C1-4CC9-BF4F-0727FA4E7E8F}">
      <text>
        <r>
          <rPr>
            <sz val="10"/>
            <rFont val="Arial"/>
            <family val="2"/>
          </rPr>
          <t>Enter here a variation in the monthly salary different from the calculated amount above.</t>
        </r>
      </text>
    </comment>
    <comment ref="X215" authorId="0" shapeId="0" xr:uid="{DBA3CEB8-5F04-4AEC-9557-3BD5A7919F68}">
      <text>
        <r>
          <rPr>
            <sz val="10"/>
            <rFont val="Arial"/>
            <family val="2"/>
          </rPr>
          <t>Enter here a variation in the monthly salary different from the calculated amount above.</t>
        </r>
      </text>
    </comment>
    <comment ref="Y215" authorId="0" shapeId="0" xr:uid="{6604A4B2-1B98-4EA7-90EF-A51C956DEAA9}">
      <text>
        <r>
          <rPr>
            <sz val="10"/>
            <rFont val="Arial"/>
            <family val="2"/>
          </rPr>
          <t>Enter here a variation in the monthly salary different from the calculated amount above.</t>
        </r>
      </text>
    </comment>
    <comment ref="Z215" authorId="0" shapeId="0" xr:uid="{59FEEA74-B566-49DB-8A18-47066699158F}">
      <text>
        <r>
          <rPr>
            <sz val="10"/>
            <rFont val="Arial"/>
            <family val="2"/>
          </rPr>
          <t>Enter here a variation in the monthly salary different from the calculated amount above.</t>
        </r>
      </text>
    </comment>
    <comment ref="AA215" authorId="0" shapeId="0" xr:uid="{E79AF7D1-4A88-4FC8-ACC4-B5BA7C7A2937}">
      <text>
        <r>
          <rPr>
            <sz val="10"/>
            <rFont val="Arial"/>
            <family val="2"/>
          </rPr>
          <t>Enter here a variation in the monthly salary different from the calculated amount above.</t>
        </r>
      </text>
    </comment>
    <comment ref="AB215" authorId="0" shapeId="0" xr:uid="{18154F2A-C965-444E-B883-52B8B0D50D17}">
      <text>
        <r>
          <rPr>
            <sz val="10"/>
            <rFont val="Arial"/>
            <family val="2"/>
          </rPr>
          <t>Enter here a variation in the monthly salary different from the calculated amount above.</t>
        </r>
      </text>
    </comment>
    <comment ref="AC215" authorId="0" shapeId="0" xr:uid="{9ABD69FA-B354-4489-A3E7-94390FC1AC22}">
      <text>
        <r>
          <rPr>
            <sz val="10"/>
            <rFont val="Arial"/>
            <family val="2"/>
          </rPr>
          <t>Enter here a variation in the monthly salary different from the calculated amount above.</t>
        </r>
      </text>
    </comment>
    <comment ref="AD215" authorId="0" shapeId="0" xr:uid="{DBCB9088-1CDF-4422-97A4-78BB9A4E61ED}">
      <text>
        <r>
          <rPr>
            <sz val="10"/>
            <rFont val="Arial"/>
            <family val="2"/>
          </rPr>
          <t>Enter here a variation in the monthly salary different from the calculated amount above.</t>
        </r>
      </text>
    </comment>
    <comment ref="F222" authorId="0" shapeId="0" xr:uid="{F29A7503-83A2-4D1F-A5D3-A9B6EAFAAEBD}">
      <text>
        <r>
          <rPr>
            <sz val="10"/>
            <rFont val="Arial"/>
            <family val="2"/>
          </rPr>
          <t>Enter a 1 if this property is this employees home property</t>
        </r>
      </text>
    </comment>
    <comment ref="G222" authorId="0" shapeId="0" xr:uid="{10B0BFC6-B8AE-4489-B1C1-FFF408EAAEAF}">
      <text>
        <r>
          <rPr>
            <sz val="10"/>
            <rFont val="Arial"/>
            <family val="2"/>
          </rPr>
          <t>For full time employees enter 1.0. If this employee is share between properties enter the proration factor i.e. work 3 days a week on this property enter 0.6.</t>
        </r>
      </text>
    </comment>
    <comment ref="H222" authorId="0" shapeId="0" xr:uid="{2E64E97C-EC6C-40FA-809C-636E1BD86A53}">
      <text>
        <r>
          <rPr>
            <sz val="10"/>
            <rFont val="Arial"/>
            <family val="2"/>
          </rPr>
          <t>Enter the number of Instructor Lead trainings this employee will attend.</t>
        </r>
      </text>
    </comment>
    <comment ref="I222" authorId="3" shapeId="0" xr:uid="{CE802E31-00A3-4FDF-90C1-6B756488D67B}">
      <text>
        <r>
          <rPr>
            <sz val="10"/>
            <rFont val="Arial"/>
            <family val="2"/>
          </rPr>
          <t>Enter the monthly amount to be reimbursed.
This will be added into salary.</t>
        </r>
      </text>
    </comment>
    <comment ref="R222" authorId="0" shapeId="0" xr:uid="{054AF695-0013-4932-828D-52486AF3905F}">
      <text>
        <r>
          <rPr>
            <sz val="10"/>
            <rFont val="Arial"/>
            <family val="2"/>
          </rPr>
          <t>If you want to include vacation in the budget, enter the number of weeks of vacation that will accrue for the year.  Consult with your client before budgeting vacation.</t>
        </r>
      </text>
    </comment>
    <comment ref="S223" authorId="0" shapeId="0" xr:uid="{2D0DDB88-3989-41A5-86D5-A154A093DD26}">
      <text>
        <r>
          <rPr>
            <sz val="10"/>
            <rFont val="Arial"/>
            <family val="2"/>
          </rPr>
          <t>Enter here a variation in the monthly salary different from the calculated amount above.</t>
        </r>
      </text>
    </comment>
    <comment ref="T223" authorId="0" shapeId="0" xr:uid="{61380DBD-4DD1-4497-9407-2BB691A3E5FF}">
      <text>
        <r>
          <rPr>
            <sz val="10"/>
            <rFont val="Arial"/>
            <family val="2"/>
          </rPr>
          <t>Enter here a variation in the monthly salary different from the calculated amount above.</t>
        </r>
      </text>
    </comment>
    <comment ref="U223" authorId="0" shapeId="0" xr:uid="{25B319A7-E149-4E01-8A9E-5960EE7141C3}">
      <text>
        <r>
          <rPr>
            <sz val="10"/>
            <rFont val="Arial"/>
            <family val="2"/>
          </rPr>
          <t>Enter here a variation in the monthly salary different from the calculated amount above.</t>
        </r>
      </text>
    </comment>
    <comment ref="V223" authorId="0" shapeId="0" xr:uid="{EF7476BA-0BD8-411F-8D8A-C0D750D4CEDA}">
      <text>
        <r>
          <rPr>
            <sz val="10"/>
            <rFont val="Arial"/>
            <family val="2"/>
          </rPr>
          <t>Enter here a variation in the monthly salary different from the calculated amount above.</t>
        </r>
      </text>
    </comment>
    <comment ref="W223" authorId="0" shapeId="0" xr:uid="{CD8C6CED-27D5-464A-AF27-4CE68B01AD55}">
      <text>
        <r>
          <rPr>
            <sz val="10"/>
            <rFont val="Arial"/>
            <family val="2"/>
          </rPr>
          <t>Enter here a variation in the monthly salary different from the calculated amount above.</t>
        </r>
      </text>
    </comment>
    <comment ref="X223" authorId="0" shapeId="0" xr:uid="{05C5434A-5B95-4B21-8120-DF9E58748899}">
      <text>
        <r>
          <rPr>
            <sz val="10"/>
            <rFont val="Arial"/>
            <family val="2"/>
          </rPr>
          <t>Enter here a variation in the monthly salary different from the calculated amount above.</t>
        </r>
      </text>
    </comment>
    <comment ref="Y223" authorId="0" shapeId="0" xr:uid="{F4B8CCDB-3BFD-411D-BC3D-D3B04F9AED6F}">
      <text>
        <r>
          <rPr>
            <sz val="10"/>
            <rFont val="Arial"/>
            <family val="2"/>
          </rPr>
          <t>Enter here a variation in the monthly salary different from the calculated amount above.</t>
        </r>
      </text>
    </comment>
    <comment ref="Z223" authorId="0" shapeId="0" xr:uid="{49145FD5-49B6-4068-BD0C-F5DC270350D1}">
      <text>
        <r>
          <rPr>
            <sz val="10"/>
            <rFont val="Arial"/>
            <family val="2"/>
          </rPr>
          <t>Enter here a variation in the monthly salary different from the calculated amount above.</t>
        </r>
      </text>
    </comment>
    <comment ref="AA223" authorId="0" shapeId="0" xr:uid="{56CB2D46-9CF1-4A16-A0A0-BC9324CEEF13}">
      <text>
        <r>
          <rPr>
            <sz val="10"/>
            <rFont val="Arial"/>
            <family val="2"/>
          </rPr>
          <t>Enter here a variation in the monthly salary different from the calculated amount above.</t>
        </r>
      </text>
    </comment>
    <comment ref="AB223" authorId="0" shapeId="0" xr:uid="{4E360ADB-7104-4EAB-8AAC-BD92F3030368}">
      <text>
        <r>
          <rPr>
            <sz val="10"/>
            <rFont val="Arial"/>
            <family val="2"/>
          </rPr>
          <t>Enter here a variation in the monthly salary different from the calculated amount above.</t>
        </r>
      </text>
    </comment>
    <comment ref="AC223" authorId="0" shapeId="0" xr:uid="{4D590AD6-152A-426E-B748-E2C40F90EBAF}">
      <text>
        <r>
          <rPr>
            <sz val="10"/>
            <rFont val="Arial"/>
            <family val="2"/>
          </rPr>
          <t>Enter here a variation in the monthly salary different from the calculated amount above.</t>
        </r>
      </text>
    </comment>
    <comment ref="AD223" authorId="0" shapeId="0" xr:uid="{DA37395E-4E22-43A0-80BC-BB72C0892967}">
      <text>
        <r>
          <rPr>
            <sz val="10"/>
            <rFont val="Arial"/>
            <family val="2"/>
          </rPr>
          <t>Enter here a variation in the monthly salary different from the calculated amount above.</t>
        </r>
      </text>
    </comment>
    <comment ref="F230" authorId="0" shapeId="0" xr:uid="{AB8CB6D7-E36D-4645-917F-B5C64939F160}">
      <text>
        <r>
          <rPr>
            <sz val="10"/>
            <rFont val="Arial"/>
            <family val="2"/>
          </rPr>
          <t>Enter a 1 if this property is this employees home property</t>
        </r>
      </text>
    </comment>
    <comment ref="G230" authorId="0" shapeId="0" xr:uid="{40871938-A803-4B51-A1A3-F9FB78127A0B}">
      <text>
        <r>
          <rPr>
            <sz val="10"/>
            <rFont val="Arial"/>
            <family val="2"/>
          </rPr>
          <t>For full time employees enter 1.0. If this employee is share between properties enter the proration factor i.e. work 3 days a week on this property enter 0.6.</t>
        </r>
      </text>
    </comment>
    <comment ref="H230" authorId="0" shapeId="0" xr:uid="{05CA0E6B-63EB-415A-83D9-77FD47C87998}">
      <text>
        <r>
          <rPr>
            <sz val="10"/>
            <rFont val="Arial"/>
            <family val="2"/>
          </rPr>
          <t>Enter the number of Instructor Lead trainings this employee will attend.</t>
        </r>
      </text>
    </comment>
    <comment ref="I230" authorId="3" shapeId="0" xr:uid="{71DE52D7-8C75-4236-B456-FD488FF4C393}">
      <text>
        <r>
          <rPr>
            <sz val="10"/>
            <rFont val="Arial"/>
            <family val="2"/>
          </rPr>
          <t>Enter the monthly amount to be reimbursed.
This will be added into salary.</t>
        </r>
      </text>
    </comment>
    <comment ref="R230" authorId="0" shapeId="0" xr:uid="{2FD4356F-25B3-47E9-BC48-A36319F66CF3}">
      <text>
        <r>
          <rPr>
            <sz val="10"/>
            <rFont val="Arial"/>
            <family val="2"/>
          </rPr>
          <t>If you want to include vacation in the budget, enter the number of weeks of vacation that will accrue for the year.  Consult with your client before budgeting vacation.</t>
        </r>
      </text>
    </comment>
    <comment ref="S231" authorId="0" shapeId="0" xr:uid="{67257BCD-9F53-486F-B716-F7302CF1F8A3}">
      <text>
        <r>
          <rPr>
            <sz val="10"/>
            <rFont val="Arial"/>
            <family val="2"/>
          </rPr>
          <t>Enter here a variation in the monthly salary different from the calculated amount above.</t>
        </r>
      </text>
    </comment>
    <comment ref="T231" authorId="0" shapeId="0" xr:uid="{C7A461B3-A6AC-4933-8ADF-2E8E5912855B}">
      <text>
        <r>
          <rPr>
            <sz val="10"/>
            <rFont val="Arial"/>
            <family val="2"/>
          </rPr>
          <t>Enter here a variation in the monthly salary different from the calculated amount above.</t>
        </r>
      </text>
    </comment>
    <comment ref="U231" authorId="0" shapeId="0" xr:uid="{90B065C2-5091-41F3-9C14-FD6D0AC48CC2}">
      <text>
        <r>
          <rPr>
            <sz val="10"/>
            <rFont val="Arial"/>
            <family val="2"/>
          </rPr>
          <t>Enter here a variation in the monthly salary different from the calculated amount above.</t>
        </r>
      </text>
    </comment>
    <comment ref="V231" authorId="0" shapeId="0" xr:uid="{3AFE7E3B-E2E4-487A-963F-37C35EEAB8A0}">
      <text>
        <r>
          <rPr>
            <sz val="10"/>
            <rFont val="Arial"/>
            <family val="2"/>
          </rPr>
          <t>Enter here a variation in the monthly salary different from the calculated amount above.</t>
        </r>
      </text>
    </comment>
    <comment ref="W231" authorId="0" shapeId="0" xr:uid="{BEA2DF95-BF21-44FE-9DB3-F5FE1F891B30}">
      <text>
        <r>
          <rPr>
            <sz val="10"/>
            <rFont val="Arial"/>
            <family val="2"/>
          </rPr>
          <t>Enter here a variation in the monthly salary different from the calculated amount above.</t>
        </r>
      </text>
    </comment>
    <comment ref="X231" authorId="0" shapeId="0" xr:uid="{AC995BD8-2DB8-45DF-B3BF-75BCA6EE10B2}">
      <text>
        <r>
          <rPr>
            <sz val="10"/>
            <rFont val="Arial"/>
            <family val="2"/>
          </rPr>
          <t>Enter here a variation in the monthly salary different from the calculated amount above.</t>
        </r>
      </text>
    </comment>
    <comment ref="Y231" authorId="0" shapeId="0" xr:uid="{9BCC2A04-7CB4-46B3-815F-BDB718B5630F}">
      <text>
        <r>
          <rPr>
            <sz val="10"/>
            <rFont val="Arial"/>
            <family val="2"/>
          </rPr>
          <t>Enter here a variation in the monthly salary different from the calculated amount above.</t>
        </r>
      </text>
    </comment>
    <comment ref="Z231" authorId="0" shapeId="0" xr:uid="{2CBD71FF-ABDD-4F12-ABB3-236E0D320034}">
      <text>
        <r>
          <rPr>
            <sz val="10"/>
            <rFont val="Arial"/>
            <family val="2"/>
          </rPr>
          <t>Enter here a variation in the monthly salary different from the calculated amount above.</t>
        </r>
      </text>
    </comment>
    <comment ref="AA231" authorId="0" shapeId="0" xr:uid="{19E83300-91D1-4021-B362-9D6C69C80EAF}">
      <text>
        <r>
          <rPr>
            <sz val="10"/>
            <rFont val="Arial"/>
            <family val="2"/>
          </rPr>
          <t>Enter here a variation in the monthly salary different from the calculated amount above.</t>
        </r>
      </text>
    </comment>
    <comment ref="AB231" authorId="0" shapeId="0" xr:uid="{5B8E84EB-C5FC-4418-8032-CAE5A3EA1B7B}">
      <text>
        <r>
          <rPr>
            <sz val="10"/>
            <rFont val="Arial"/>
            <family val="2"/>
          </rPr>
          <t>Enter here a variation in the monthly salary different from the calculated amount above.</t>
        </r>
      </text>
    </comment>
    <comment ref="AC231" authorId="0" shapeId="0" xr:uid="{92FAC303-903C-4E1E-813A-FB6D8F4FCC7A}">
      <text>
        <r>
          <rPr>
            <sz val="10"/>
            <rFont val="Arial"/>
            <family val="2"/>
          </rPr>
          <t>Enter here a variation in the monthly salary different from the calculated amount above.</t>
        </r>
      </text>
    </comment>
    <comment ref="AD231" authorId="0" shapeId="0" xr:uid="{A6611DBE-2809-4AB5-A0F4-DCD245485B71}">
      <text>
        <r>
          <rPr>
            <sz val="10"/>
            <rFont val="Arial"/>
            <family val="2"/>
          </rPr>
          <t>Enter here a variation in the monthly salary different from the calculated amount above.</t>
        </r>
      </text>
    </comment>
    <comment ref="F238" authorId="0" shapeId="0" xr:uid="{653470C4-323D-4B61-B39A-94527A188754}">
      <text>
        <r>
          <rPr>
            <sz val="10"/>
            <rFont val="Arial"/>
            <family val="2"/>
          </rPr>
          <t>Enter a 1 if this property is this employees home property</t>
        </r>
      </text>
    </comment>
    <comment ref="G238" authorId="0" shapeId="0" xr:uid="{D8623FEA-5B3A-42CA-B55B-E59209820D91}">
      <text>
        <r>
          <rPr>
            <sz val="10"/>
            <rFont val="Arial"/>
            <family val="2"/>
          </rPr>
          <t>For full time employees enter 1.0. If this employee is share between properties enter the proration factor i.e. work 3 days a week on this property enter 0.6.</t>
        </r>
      </text>
    </comment>
    <comment ref="H238" authorId="0" shapeId="0" xr:uid="{B931D75A-A912-4B0D-AA70-26F1E4EBC315}">
      <text>
        <r>
          <rPr>
            <sz val="10"/>
            <rFont val="Arial"/>
            <family val="2"/>
          </rPr>
          <t>Enter the number of Instructor Lead trainings this employee will attend.</t>
        </r>
      </text>
    </comment>
    <comment ref="I238" authorId="3" shapeId="0" xr:uid="{6C93016B-8743-4501-BF93-963521AD1985}">
      <text>
        <r>
          <rPr>
            <sz val="10"/>
            <rFont val="Arial"/>
            <family val="2"/>
          </rPr>
          <t>Enter the monthly amount to be reimbursed.
This will be added into salary.</t>
        </r>
      </text>
    </comment>
    <comment ref="R238" authorId="0" shapeId="0" xr:uid="{BE621290-C686-48DE-B91B-FE700B1E847D}">
      <text>
        <r>
          <rPr>
            <sz val="10"/>
            <rFont val="Arial"/>
            <family val="2"/>
          </rPr>
          <t>If you want to include vacation in the budget, enter the number of weeks of vacation that will accrue for the year.  Consult with your client before budgeting vacation.</t>
        </r>
      </text>
    </comment>
    <comment ref="S239" authorId="0" shapeId="0" xr:uid="{73FE8E56-1649-41C1-85B0-8D840DB52F50}">
      <text>
        <r>
          <rPr>
            <sz val="10"/>
            <rFont val="Arial"/>
            <family val="2"/>
          </rPr>
          <t>Enter here a variation in the monthly salary different from the calculated amount above.</t>
        </r>
      </text>
    </comment>
    <comment ref="T239" authorId="0" shapeId="0" xr:uid="{57504DE1-78E0-4012-B327-F964DBC4F5AB}">
      <text>
        <r>
          <rPr>
            <sz val="10"/>
            <rFont val="Arial"/>
            <family val="2"/>
          </rPr>
          <t>Enter here a variation in the monthly salary different from the calculated amount above.</t>
        </r>
      </text>
    </comment>
    <comment ref="U239" authorId="0" shapeId="0" xr:uid="{DF63DFD0-51A3-4F46-9B26-13AE236EA350}">
      <text>
        <r>
          <rPr>
            <sz val="10"/>
            <rFont val="Arial"/>
            <family val="2"/>
          </rPr>
          <t>Enter here a variation in the monthly salary different from the calculated amount above.</t>
        </r>
      </text>
    </comment>
    <comment ref="V239" authorId="0" shapeId="0" xr:uid="{52C5F113-EC36-4866-A5A8-C14D6522E8F3}">
      <text>
        <r>
          <rPr>
            <sz val="10"/>
            <rFont val="Arial"/>
            <family val="2"/>
          </rPr>
          <t>Enter here a variation in the monthly salary different from the calculated amount above.</t>
        </r>
      </text>
    </comment>
    <comment ref="W239" authorId="0" shapeId="0" xr:uid="{6292608C-E607-41C3-87CD-D98A85F63BCC}">
      <text>
        <r>
          <rPr>
            <sz val="10"/>
            <rFont val="Arial"/>
            <family val="2"/>
          </rPr>
          <t>Enter here a variation in the monthly salary different from the calculated amount above.</t>
        </r>
      </text>
    </comment>
    <comment ref="X239" authorId="0" shapeId="0" xr:uid="{DDC4F8B8-9C46-4952-9BC2-F23260BA1C87}">
      <text>
        <r>
          <rPr>
            <sz val="10"/>
            <rFont val="Arial"/>
            <family val="2"/>
          </rPr>
          <t>Enter here a variation in the monthly salary different from the calculated amount above.</t>
        </r>
      </text>
    </comment>
    <comment ref="Y239" authorId="0" shapeId="0" xr:uid="{13025611-F243-48F8-B7F4-52C6FA573B31}">
      <text>
        <r>
          <rPr>
            <sz val="10"/>
            <rFont val="Arial"/>
            <family val="2"/>
          </rPr>
          <t>Enter here a variation in the monthly salary different from the calculated amount above.</t>
        </r>
      </text>
    </comment>
    <comment ref="Z239" authorId="0" shapeId="0" xr:uid="{D38F68BE-FE37-46F3-B847-955687BB1236}">
      <text>
        <r>
          <rPr>
            <sz val="10"/>
            <rFont val="Arial"/>
            <family val="2"/>
          </rPr>
          <t>Enter here a variation in the monthly salary different from the calculated amount above.</t>
        </r>
      </text>
    </comment>
    <comment ref="AA239" authorId="0" shapeId="0" xr:uid="{83F4DBE2-8A2C-4AD7-8133-05CAC0809575}">
      <text>
        <r>
          <rPr>
            <sz val="10"/>
            <rFont val="Arial"/>
            <family val="2"/>
          </rPr>
          <t>Enter here a variation in the monthly salary different from the calculated amount above.</t>
        </r>
      </text>
    </comment>
    <comment ref="AB239" authorId="0" shapeId="0" xr:uid="{57F864D1-DB7F-4361-9DCD-1B825E377026}">
      <text>
        <r>
          <rPr>
            <sz val="10"/>
            <rFont val="Arial"/>
            <family val="2"/>
          </rPr>
          <t>Enter here a variation in the monthly salary different from the calculated amount above.</t>
        </r>
      </text>
    </comment>
    <comment ref="AC239" authorId="0" shapeId="0" xr:uid="{5519E90C-6E25-442B-9F75-229B6AB2C94B}">
      <text>
        <r>
          <rPr>
            <sz val="10"/>
            <rFont val="Arial"/>
            <family val="2"/>
          </rPr>
          <t>Enter here a variation in the monthly salary different from the calculated amount above.</t>
        </r>
      </text>
    </comment>
    <comment ref="AD239" authorId="0" shapeId="0" xr:uid="{E44D19BE-8BC4-409F-A343-0B8EED91F69D}">
      <text>
        <r>
          <rPr>
            <sz val="10"/>
            <rFont val="Arial"/>
            <family val="2"/>
          </rPr>
          <t>Enter here a variation in the monthly salary different from the calculated amount above.</t>
        </r>
      </text>
    </comment>
    <comment ref="F246" authorId="0" shapeId="0" xr:uid="{9A293C72-9111-46F9-B649-005F2A86323A}">
      <text>
        <r>
          <rPr>
            <sz val="10"/>
            <rFont val="Arial"/>
            <family val="2"/>
          </rPr>
          <t>Enter a 1 if this property is this employees home property</t>
        </r>
      </text>
    </comment>
    <comment ref="G246" authorId="0" shapeId="0" xr:uid="{91BB0DBC-1E73-4E29-B01E-1A3974E38CF1}">
      <text>
        <r>
          <rPr>
            <sz val="10"/>
            <rFont val="Arial"/>
            <family val="2"/>
          </rPr>
          <t>For full time employees enter 1.0. If this employee is share between properties enter the proration factor i.e. work 3 days a week on this property enter 0.6.</t>
        </r>
      </text>
    </comment>
    <comment ref="H246" authorId="0" shapeId="0" xr:uid="{D9F720C0-9629-4BB3-A89D-F3DAE8ECBCB2}">
      <text>
        <r>
          <rPr>
            <sz val="10"/>
            <rFont val="Arial"/>
            <family val="2"/>
          </rPr>
          <t>Enter the number of Instructor Lead trainings this employee will attend.</t>
        </r>
      </text>
    </comment>
    <comment ref="I246" authorId="3" shapeId="0" xr:uid="{E4E0A4C9-5E55-4BEC-B542-F50FFABB7196}">
      <text>
        <r>
          <rPr>
            <sz val="10"/>
            <rFont val="Arial"/>
            <family val="2"/>
          </rPr>
          <t>Enter the monthly amount to be reimbursed.
This will be added into salary.</t>
        </r>
      </text>
    </comment>
    <comment ref="R246" authorId="0" shapeId="0" xr:uid="{3B6BE49B-6335-47D0-A60B-0783C4BB4E0C}">
      <text>
        <r>
          <rPr>
            <sz val="10"/>
            <rFont val="Arial"/>
            <family val="2"/>
          </rPr>
          <t>If you want to include vacation in the budget, enter the number of weeks of vacation that will accrue for the year.  Consult with your client before budgeting vacation.</t>
        </r>
      </text>
    </comment>
    <comment ref="S247" authorId="0" shapeId="0" xr:uid="{11165FE9-EB12-4319-8142-6F6CC2E81E2C}">
      <text>
        <r>
          <rPr>
            <sz val="10"/>
            <rFont val="Arial"/>
            <family val="2"/>
          </rPr>
          <t>Enter here a variation in the monthly salary different from the calculated amount above.</t>
        </r>
      </text>
    </comment>
    <comment ref="T247" authorId="0" shapeId="0" xr:uid="{CF1CB377-1A40-4555-AEB3-4DF56B842DD5}">
      <text>
        <r>
          <rPr>
            <sz val="10"/>
            <rFont val="Arial"/>
            <family val="2"/>
          </rPr>
          <t>Enter here a variation in the monthly salary different from the calculated amount above.</t>
        </r>
      </text>
    </comment>
    <comment ref="U247" authorId="0" shapeId="0" xr:uid="{DB2831CE-EBE3-40DF-B45D-722EC5E89B29}">
      <text>
        <r>
          <rPr>
            <sz val="10"/>
            <rFont val="Arial"/>
            <family val="2"/>
          </rPr>
          <t>Enter here a variation in the monthly salary different from the calculated amount above.</t>
        </r>
      </text>
    </comment>
    <comment ref="V247" authorId="0" shapeId="0" xr:uid="{3DED45D4-FB55-4059-9396-B8827B9D0A13}">
      <text>
        <r>
          <rPr>
            <sz val="10"/>
            <rFont val="Arial"/>
            <family val="2"/>
          </rPr>
          <t>Enter here a variation in the monthly salary different from the calculated amount above.</t>
        </r>
      </text>
    </comment>
    <comment ref="W247" authorId="0" shapeId="0" xr:uid="{465A5E4A-EB10-42BD-8E85-69271F36C307}">
      <text>
        <r>
          <rPr>
            <sz val="10"/>
            <rFont val="Arial"/>
            <family val="2"/>
          </rPr>
          <t>Enter here a variation in the monthly salary different from the calculated amount above.</t>
        </r>
      </text>
    </comment>
    <comment ref="X247" authorId="0" shapeId="0" xr:uid="{D37BF4C9-FFC7-44BB-95A6-F2E97974AEB4}">
      <text>
        <r>
          <rPr>
            <sz val="10"/>
            <rFont val="Arial"/>
            <family val="2"/>
          </rPr>
          <t>Enter here a variation in the monthly salary different from the calculated amount above.</t>
        </r>
      </text>
    </comment>
    <comment ref="Y247" authorId="0" shapeId="0" xr:uid="{0F0A71AC-882A-4B68-A3C1-BCE0467C05CC}">
      <text>
        <r>
          <rPr>
            <sz val="10"/>
            <rFont val="Arial"/>
            <family val="2"/>
          </rPr>
          <t>Enter here a variation in the monthly salary different from the calculated amount above.</t>
        </r>
      </text>
    </comment>
    <comment ref="Z247" authorId="0" shapeId="0" xr:uid="{877A40FC-002F-4576-9718-EC91C00287F5}">
      <text>
        <r>
          <rPr>
            <sz val="10"/>
            <rFont val="Arial"/>
            <family val="2"/>
          </rPr>
          <t>Enter here a variation in the monthly salary different from the calculated amount above.</t>
        </r>
      </text>
    </comment>
    <comment ref="AA247" authorId="0" shapeId="0" xr:uid="{B6BAC3FA-D847-4F22-8994-5BFCD2B797B4}">
      <text>
        <r>
          <rPr>
            <sz val="10"/>
            <rFont val="Arial"/>
            <family val="2"/>
          </rPr>
          <t>Enter here a variation in the monthly salary different from the calculated amount above.</t>
        </r>
      </text>
    </comment>
    <comment ref="AB247" authorId="0" shapeId="0" xr:uid="{83DFA9A1-D3F7-41F3-9DD9-8AA17B723E69}">
      <text>
        <r>
          <rPr>
            <sz val="10"/>
            <rFont val="Arial"/>
            <family val="2"/>
          </rPr>
          <t>Enter here a variation in the monthly salary different from the calculated amount above.</t>
        </r>
      </text>
    </comment>
    <comment ref="AC247" authorId="0" shapeId="0" xr:uid="{97844379-62D7-4A5C-ADE8-1ED560E9514E}">
      <text>
        <r>
          <rPr>
            <sz val="10"/>
            <rFont val="Arial"/>
            <family val="2"/>
          </rPr>
          <t>Enter here a variation in the monthly salary different from the calculated amount above.</t>
        </r>
      </text>
    </comment>
    <comment ref="AD247" authorId="0" shapeId="0" xr:uid="{70AF9C4F-13E1-48CD-8416-F3ABA7C897FE}">
      <text>
        <r>
          <rPr>
            <sz val="10"/>
            <rFont val="Arial"/>
            <family val="2"/>
          </rPr>
          <t>Enter here a variation in the monthly salary different from the calculated amount above.</t>
        </r>
      </text>
    </comment>
    <comment ref="F254" authorId="0" shapeId="0" xr:uid="{C11DE397-F253-447C-8AFB-BD43F031D138}">
      <text>
        <r>
          <rPr>
            <sz val="10"/>
            <rFont val="Arial"/>
            <family val="2"/>
          </rPr>
          <t>Enter a 1 if this property is this employees home property</t>
        </r>
      </text>
    </comment>
    <comment ref="G254" authorId="0" shapeId="0" xr:uid="{CC785B0F-0AF1-4081-A21C-DFEF78312824}">
      <text>
        <r>
          <rPr>
            <sz val="10"/>
            <rFont val="Arial"/>
            <family val="2"/>
          </rPr>
          <t>For full time employees enter 1.0. If this employee is share between properties enter the proration factor i.e. work 3 days a week on this property enter 0.6.</t>
        </r>
      </text>
    </comment>
    <comment ref="H254" authorId="0" shapeId="0" xr:uid="{2D91C1FB-BDA7-4CD7-8722-8DD70072D485}">
      <text>
        <r>
          <rPr>
            <sz val="10"/>
            <rFont val="Arial"/>
            <family val="2"/>
          </rPr>
          <t>Enter the number of Instructor Lead trainings this employee will attend.</t>
        </r>
      </text>
    </comment>
    <comment ref="I254" authorId="3" shapeId="0" xr:uid="{6890BE4A-8943-4022-86C9-F11F780AD165}">
      <text>
        <r>
          <rPr>
            <sz val="10"/>
            <rFont val="Arial"/>
            <family val="2"/>
          </rPr>
          <t>Enter the monthly amount to be reimbursed.
This will be added into salary.</t>
        </r>
      </text>
    </comment>
    <comment ref="R254" authorId="0" shapeId="0" xr:uid="{E76345DA-8A27-4D9A-BB3D-56F9B0DB015D}">
      <text>
        <r>
          <rPr>
            <sz val="10"/>
            <rFont val="Arial"/>
            <family val="2"/>
          </rPr>
          <t>If you want to include vacation in the budget, enter the number of weeks of vacation that will accrue for the year.  Consult with your client before budgeting vacation.</t>
        </r>
      </text>
    </comment>
    <comment ref="S255" authorId="0" shapeId="0" xr:uid="{3A9C4C9C-0836-4C94-8EE4-EA0BBA1CD05F}">
      <text>
        <r>
          <rPr>
            <sz val="10"/>
            <rFont val="Arial"/>
            <family val="2"/>
          </rPr>
          <t>Enter here a variation in the monthly salary different from the calculated amount above.</t>
        </r>
      </text>
    </comment>
    <comment ref="T255" authorId="0" shapeId="0" xr:uid="{88DC2725-3CD8-401C-9C08-7434D6870B43}">
      <text>
        <r>
          <rPr>
            <sz val="10"/>
            <rFont val="Arial"/>
            <family val="2"/>
          </rPr>
          <t>Enter here a variation in the monthly salary different from the calculated amount above.</t>
        </r>
      </text>
    </comment>
    <comment ref="U255" authorId="0" shapeId="0" xr:uid="{99B326C4-262E-4B33-B30F-6565B86CB547}">
      <text>
        <r>
          <rPr>
            <sz val="10"/>
            <rFont val="Arial"/>
            <family val="2"/>
          </rPr>
          <t>Enter here a variation in the monthly salary different from the calculated amount above.</t>
        </r>
      </text>
    </comment>
    <comment ref="V255" authorId="0" shapeId="0" xr:uid="{49411726-3719-4BA7-AADA-4A87639F4036}">
      <text>
        <r>
          <rPr>
            <sz val="10"/>
            <rFont val="Arial"/>
            <family val="2"/>
          </rPr>
          <t>Enter here a variation in the monthly salary different from the calculated amount above.</t>
        </r>
      </text>
    </comment>
    <comment ref="W255" authorId="0" shapeId="0" xr:uid="{9E6254FD-15FC-4D08-A3C9-E8206EC97F60}">
      <text>
        <r>
          <rPr>
            <sz val="10"/>
            <rFont val="Arial"/>
            <family val="2"/>
          </rPr>
          <t>Enter here a variation in the monthly salary different from the calculated amount above.</t>
        </r>
      </text>
    </comment>
    <comment ref="X255" authorId="0" shapeId="0" xr:uid="{847F93B8-C979-491D-8521-5F6783CDB9FF}">
      <text>
        <r>
          <rPr>
            <sz val="10"/>
            <rFont val="Arial"/>
            <family val="2"/>
          </rPr>
          <t>Enter here a variation in the monthly salary different from the calculated amount above.</t>
        </r>
      </text>
    </comment>
    <comment ref="Y255" authorId="0" shapeId="0" xr:uid="{1D34197A-FD7C-45DE-92A1-B468F4551101}">
      <text>
        <r>
          <rPr>
            <sz val="10"/>
            <rFont val="Arial"/>
            <family val="2"/>
          </rPr>
          <t>Enter here a variation in the monthly salary different from the calculated amount above.</t>
        </r>
      </text>
    </comment>
    <comment ref="Z255" authorId="0" shapeId="0" xr:uid="{5FA627FE-21B7-4358-9716-33F0D41BA599}">
      <text>
        <r>
          <rPr>
            <sz val="10"/>
            <rFont val="Arial"/>
            <family val="2"/>
          </rPr>
          <t>Enter here a variation in the monthly salary different from the calculated amount above.</t>
        </r>
      </text>
    </comment>
    <comment ref="AA255" authorId="0" shapeId="0" xr:uid="{5A287D6A-3AED-4577-A81B-088871BA67D3}">
      <text>
        <r>
          <rPr>
            <sz val="10"/>
            <rFont val="Arial"/>
            <family val="2"/>
          </rPr>
          <t>Enter here a variation in the monthly salary different from the calculated amount above.</t>
        </r>
      </text>
    </comment>
    <comment ref="AB255" authorId="0" shapeId="0" xr:uid="{2D10F784-339C-4D24-9EAA-C54E1CE9F73F}">
      <text>
        <r>
          <rPr>
            <sz val="10"/>
            <rFont val="Arial"/>
            <family val="2"/>
          </rPr>
          <t>Enter here a variation in the monthly salary different from the calculated amount above.</t>
        </r>
      </text>
    </comment>
    <comment ref="AC255" authorId="0" shapeId="0" xr:uid="{676FCC9B-28C0-46F6-994E-34A49CD673FA}">
      <text>
        <r>
          <rPr>
            <sz val="10"/>
            <rFont val="Arial"/>
            <family val="2"/>
          </rPr>
          <t>Enter here a variation in the monthly salary different from the calculated amount above.</t>
        </r>
      </text>
    </comment>
    <comment ref="AD255" authorId="0" shapeId="0" xr:uid="{BF4DB47E-8438-4C42-84C2-078E2930E4ED}">
      <text>
        <r>
          <rPr>
            <sz val="10"/>
            <rFont val="Arial"/>
            <family val="2"/>
          </rPr>
          <t>Enter here a variation in the monthly salary different from the calculated amount above.</t>
        </r>
      </text>
    </comment>
    <comment ref="S265" authorId="0" shapeId="0" xr:uid="{3317F22F-2F6C-471D-B515-8AC9FD1C7D1B}">
      <text>
        <r>
          <rPr>
            <sz val="10"/>
            <rFont val="Arial"/>
            <family val="2"/>
          </rPr>
          <t xml:space="preserve">Enter here a variation in the monthly bonuses different from the calculated amount above.   </t>
        </r>
      </text>
    </comment>
    <comment ref="T265" authorId="0" shapeId="0" xr:uid="{E806F608-CC9A-482C-8DEF-E3C38B5431F1}">
      <text>
        <r>
          <rPr>
            <sz val="10"/>
            <rFont val="Arial"/>
            <family val="2"/>
          </rPr>
          <t xml:space="preserve">Enter here a variation in the monthly bonuses different from the calculated amount above.   </t>
        </r>
      </text>
    </comment>
    <comment ref="U265" authorId="0" shapeId="0" xr:uid="{F48BD542-AD73-45DE-A48E-202465960A7E}">
      <text>
        <r>
          <rPr>
            <sz val="10"/>
            <rFont val="Arial"/>
            <family val="2"/>
          </rPr>
          <t xml:space="preserve">Enter here a variation in the monthly bonuses different from the calculated amount above.   </t>
        </r>
      </text>
    </comment>
    <comment ref="V265" authorId="0" shapeId="0" xr:uid="{919B99D1-746D-4D6B-B468-7D42D4F62FCE}">
      <text>
        <r>
          <rPr>
            <sz val="10"/>
            <rFont val="Arial"/>
            <family val="2"/>
          </rPr>
          <t xml:space="preserve">Enter here a variation in the monthly bonuses different from the calculated amount above.   </t>
        </r>
      </text>
    </comment>
    <comment ref="W265" authorId="0" shapeId="0" xr:uid="{7697EBCC-484C-4F49-BFD9-1ADACA657CB0}">
      <text>
        <r>
          <rPr>
            <sz val="10"/>
            <rFont val="Arial"/>
            <family val="2"/>
          </rPr>
          <t xml:space="preserve">Enter here a variation in the monthly bonuses different from the calculated amount above.   </t>
        </r>
      </text>
    </comment>
    <comment ref="X265" authorId="0" shapeId="0" xr:uid="{1D2FD5FF-9EA3-4124-A996-45D59073DBC3}">
      <text>
        <r>
          <rPr>
            <sz val="10"/>
            <rFont val="Arial"/>
            <family val="2"/>
          </rPr>
          <t xml:space="preserve">Enter here a variation in the monthly bonuses different from the calculated amount above.   </t>
        </r>
      </text>
    </comment>
    <comment ref="Y265" authorId="0" shapeId="0" xr:uid="{06424530-5E42-4A5E-9C0C-DA28BEE751DE}">
      <text>
        <r>
          <rPr>
            <sz val="10"/>
            <rFont val="Arial"/>
            <family val="2"/>
          </rPr>
          <t xml:space="preserve">Enter here a variation in the monthly bonuses different from the calculated amount above.   </t>
        </r>
      </text>
    </comment>
    <comment ref="Z265" authorId="0" shapeId="0" xr:uid="{0C557F1E-244C-4604-8A9F-0E7E1CD6F94A}">
      <text>
        <r>
          <rPr>
            <sz val="10"/>
            <rFont val="Arial"/>
            <family val="2"/>
          </rPr>
          <t xml:space="preserve">Enter here a variation in the monthly bonuses different from the calculated amount above.   </t>
        </r>
      </text>
    </comment>
    <comment ref="AA265" authorId="0" shapeId="0" xr:uid="{C866BF62-148F-4B49-A039-A6EF7DCB77C9}">
      <text>
        <r>
          <rPr>
            <sz val="10"/>
            <rFont val="Arial"/>
            <family val="2"/>
          </rPr>
          <t xml:space="preserve">Enter here a variation in the monthly bonuses different from the calculated amount above.   </t>
        </r>
      </text>
    </comment>
    <comment ref="AB265" authorId="0" shapeId="0" xr:uid="{283D500F-E9F5-4893-8F7E-76FBB09A230F}">
      <text>
        <r>
          <rPr>
            <sz val="10"/>
            <rFont val="Arial"/>
            <family val="2"/>
          </rPr>
          <t xml:space="preserve">Enter here a variation in the monthly bonuses different from the calculated amount above.   </t>
        </r>
      </text>
    </comment>
    <comment ref="AC265" authorId="0" shapeId="0" xr:uid="{BBC169CE-F059-4EB3-85A5-88B147B380CB}">
      <text>
        <r>
          <rPr>
            <sz val="10"/>
            <rFont val="Arial"/>
            <family val="2"/>
          </rPr>
          <t xml:space="preserve">Enter here a variation in the monthly bonuses different from the calculated amount above.   </t>
        </r>
      </text>
    </comment>
    <comment ref="AD265" authorId="0" shapeId="0" xr:uid="{A3224E85-6673-4446-AD7B-1B397FDEDE0A}">
      <text>
        <r>
          <rPr>
            <sz val="10"/>
            <rFont val="Arial"/>
            <family val="2"/>
          </rPr>
          <t xml:space="preserve">Enter here a variation in the monthly bonuses different from the calculated amount above.   </t>
        </r>
      </text>
    </comment>
    <comment ref="S267" authorId="0" shapeId="0" xr:uid="{74196218-FE6E-4F3D-B25A-ADBAB0B19BB1}">
      <text>
        <r>
          <rPr>
            <sz val="10"/>
            <rFont val="Arial"/>
            <family val="2"/>
          </rPr>
          <t xml:space="preserve">Enter here a variation in the monthly Payroll Admin different from the calculated amount above.  </t>
        </r>
      </text>
    </comment>
    <comment ref="T267" authorId="0" shapeId="0" xr:uid="{635913A4-FECA-4270-8A44-48ACE6E2A307}">
      <text>
        <r>
          <rPr>
            <sz val="10"/>
            <rFont val="Arial"/>
            <family val="2"/>
          </rPr>
          <t xml:space="preserve">Enter here a variation in the monthly Payroll Admin different from the calculated amount above.  </t>
        </r>
      </text>
    </comment>
    <comment ref="U267" authorId="0" shapeId="0" xr:uid="{06AB52B6-A011-40A1-8AB4-617B00DF5D68}">
      <text>
        <r>
          <rPr>
            <sz val="10"/>
            <rFont val="Arial"/>
            <family val="2"/>
          </rPr>
          <t xml:space="preserve">Enter here a variation in the monthly Payroll Admin different from the calculated amount above.  </t>
        </r>
      </text>
    </comment>
    <comment ref="V267" authorId="0" shapeId="0" xr:uid="{CFABDC5E-B7D2-4AC8-AD55-3EB1A7A7B0AF}">
      <text>
        <r>
          <rPr>
            <sz val="10"/>
            <rFont val="Arial"/>
            <family val="2"/>
          </rPr>
          <t xml:space="preserve">Enter here a variation in the monthly Payroll Admin different from the calculated amount above.  </t>
        </r>
      </text>
    </comment>
    <comment ref="W267" authorId="0" shapeId="0" xr:uid="{609A838B-0F08-4C7B-B1FC-DCBF21BBE924}">
      <text>
        <r>
          <rPr>
            <sz val="10"/>
            <rFont val="Arial"/>
            <family val="2"/>
          </rPr>
          <t xml:space="preserve">Enter here a variation in the monthly Payroll Admin different from the calculated amount above.  </t>
        </r>
      </text>
    </comment>
    <comment ref="X267" authorId="0" shapeId="0" xr:uid="{568B21DD-744D-48BC-86F9-4F305428B92D}">
      <text>
        <r>
          <rPr>
            <sz val="10"/>
            <rFont val="Arial"/>
            <family val="2"/>
          </rPr>
          <t xml:space="preserve">Enter here a variation in the monthly Payroll Admin different from the calculated amount above.  </t>
        </r>
      </text>
    </comment>
    <comment ref="Y267" authorId="0" shapeId="0" xr:uid="{DF78691B-9DE9-4ECE-8708-836E39F0A5A9}">
      <text>
        <r>
          <rPr>
            <sz val="10"/>
            <rFont val="Arial"/>
            <family val="2"/>
          </rPr>
          <t xml:space="preserve">Enter here a variation in the monthly Payroll Admin different from the calculated amount above.  </t>
        </r>
      </text>
    </comment>
    <comment ref="Z267" authorId="0" shapeId="0" xr:uid="{AB721FE5-E033-4CCB-975B-B120E195836F}">
      <text>
        <r>
          <rPr>
            <sz val="10"/>
            <rFont val="Arial"/>
            <family val="2"/>
          </rPr>
          <t xml:space="preserve">Enter here a variation in the monthly Payroll Admin different from the calculated amount above.  </t>
        </r>
      </text>
    </comment>
    <comment ref="AA267" authorId="0" shapeId="0" xr:uid="{9B8A905A-B841-402C-B057-B3855CA3C26A}">
      <text>
        <r>
          <rPr>
            <sz val="10"/>
            <rFont val="Arial"/>
            <family val="2"/>
          </rPr>
          <t xml:space="preserve">Enter here a variation in the monthly Payroll Admin different from the calculated amount above.  </t>
        </r>
      </text>
    </comment>
    <comment ref="AB267" authorId="0" shapeId="0" xr:uid="{0482D3C6-DD55-4B0B-89FC-FAF68DA456C1}">
      <text>
        <r>
          <rPr>
            <sz val="10"/>
            <rFont val="Arial"/>
            <family val="2"/>
          </rPr>
          <t xml:space="preserve">Enter here a variation in the monthly Payroll Admin different from the calculated amount above.  </t>
        </r>
      </text>
    </comment>
    <comment ref="AC267" authorId="0" shapeId="0" xr:uid="{36530B6C-36AB-4C27-95D2-4D65165AF260}">
      <text>
        <r>
          <rPr>
            <sz val="10"/>
            <rFont val="Arial"/>
            <family val="2"/>
          </rPr>
          <t xml:space="preserve">Enter here a variation in the monthly Payroll Admin different from the calculated amount above.  </t>
        </r>
      </text>
    </comment>
    <comment ref="AD267" authorId="0" shapeId="0" xr:uid="{79D2B4C7-A33C-4DEB-A445-C02277211AEE}">
      <text>
        <r>
          <rPr>
            <sz val="10"/>
            <rFont val="Arial"/>
            <family val="2"/>
          </rPr>
          <t xml:space="preserve">Enter here a variation in the monthly Payroll Admin different from the calculated amount above.  </t>
        </r>
      </text>
    </comment>
    <comment ref="S270" authorId="0" shapeId="0" xr:uid="{4ACFB627-CC49-4779-AF00-7CF717384745}">
      <text>
        <r>
          <rPr>
            <sz val="10"/>
            <rFont val="Arial"/>
            <family val="2"/>
          </rPr>
          <t xml:space="preserve">Enter here a variation in the monthly Health Benefit different from the calculated amount above. </t>
        </r>
      </text>
    </comment>
    <comment ref="T270" authorId="0" shapeId="0" xr:uid="{70C8BAC2-7CCE-4846-8A87-1C04254AA20E}">
      <text>
        <r>
          <rPr>
            <sz val="10"/>
            <rFont val="Arial"/>
            <family val="2"/>
          </rPr>
          <t xml:space="preserve">Enter here a variation in the monthly Payroll Admin different from the calculated amount above. </t>
        </r>
      </text>
    </comment>
    <comment ref="U270" authorId="0" shapeId="0" xr:uid="{8E4ADA47-5DCA-4DB9-AA5A-C1C9D886BDDD}">
      <text>
        <r>
          <rPr>
            <sz val="10"/>
            <rFont val="Arial"/>
            <family val="2"/>
          </rPr>
          <t xml:space="preserve">Enter here a variation in the monthly Payroll Admin different from the calculated amount above. </t>
        </r>
      </text>
    </comment>
    <comment ref="V270" authorId="0" shapeId="0" xr:uid="{EB23E9EC-66DF-477D-B74C-0A4D331207DC}">
      <text>
        <r>
          <rPr>
            <sz val="10"/>
            <rFont val="Arial"/>
            <family val="2"/>
          </rPr>
          <t xml:space="preserve">Enter here a variation in the monthly Payroll Admin different from the calculated amount above. </t>
        </r>
      </text>
    </comment>
    <comment ref="W270" authorId="0" shapeId="0" xr:uid="{807D3DA6-AFB9-4EE2-BB5C-84E2E664BC48}">
      <text>
        <r>
          <rPr>
            <sz val="10"/>
            <rFont val="Arial"/>
            <family val="2"/>
          </rPr>
          <t xml:space="preserve">Enter here a variation in the monthly Payroll Admin different from the calculated amount above. </t>
        </r>
      </text>
    </comment>
    <comment ref="X270" authorId="0" shapeId="0" xr:uid="{4D1F3F7F-4360-4A2C-85FB-B9037216B134}">
      <text>
        <r>
          <rPr>
            <sz val="10"/>
            <rFont val="Arial"/>
            <family val="2"/>
          </rPr>
          <t xml:space="preserve">Enter here a variation in the monthly Payroll Admin different from the calculated amount above. </t>
        </r>
      </text>
    </comment>
    <comment ref="Y270" authorId="0" shapeId="0" xr:uid="{845DB5AA-0A95-4CED-A628-9B647CD812F4}">
      <text>
        <r>
          <rPr>
            <sz val="10"/>
            <rFont val="Arial"/>
            <family val="2"/>
          </rPr>
          <t xml:space="preserve">Enter here a variation in the monthly Payroll Admin different from the calculated amount above. </t>
        </r>
      </text>
    </comment>
    <comment ref="Z270" authorId="0" shapeId="0" xr:uid="{6E764C1B-2FF0-4580-8CFA-CC55053CAFAF}">
      <text>
        <r>
          <rPr>
            <sz val="10"/>
            <rFont val="Arial"/>
            <family val="2"/>
          </rPr>
          <t xml:space="preserve">Enter here a variation in the monthly Payroll Admin different from the calculated amount above. </t>
        </r>
      </text>
    </comment>
    <comment ref="AA270" authorId="0" shapeId="0" xr:uid="{F3F5AC48-AC6F-4F9C-9B6E-C28A2C43915B}">
      <text>
        <r>
          <rPr>
            <sz val="10"/>
            <rFont val="Arial"/>
            <family val="2"/>
          </rPr>
          <t xml:space="preserve">Enter here a variation in the monthly Payroll Admin different from the calculated amount above. </t>
        </r>
      </text>
    </comment>
    <comment ref="AB270" authorId="0" shapeId="0" xr:uid="{D9DD9793-0CB1-4649-BDD9-6DFBAE7585FD}">
      <text>
        <r>
          <rPr>
            <sz val="10"/>
            <rFont val="Arial"/>
            <family val="2"/>
          </rPr>
          <t xml:space="preserve">Enter here a variation in the monthly Payroll Admin different from the calculated amount above. </t>
        </r>
      </text>
    </comment>
    <comment ref="AC270" authorId="0" shapeId="0" xr:uid="{D0B004F0-D857-4A93-99A1-FF2B60EDC39D}">
      <text>
        <r>
          <rPr>
            <sz val="10"/>
            <rFont val="Arial"/>
            <family val="2"/>
          </rPr>
          <t xml:space="preserve">Enter here a variation in the monthly Payroll Admin different from the calculated amount above. </t>
        </r>
      </text>
    </comment>
    <comment ref="AD270" authorId="0" shapeId="0" xr:uid="{CB471A43-770F-49C6-8247-37091BD1475B}">
      <text>
        <r>
          <rPr>
            <sz val="10"/>
            <rFont val="Arial"/>
            <family val="2"/>
          </rPr>
          <t xml:space="preserve">Enter here a variation in the monthly Payroll Admin different from the calculated amount above. </t>
        </r>
      </text>
    </comment>
    <comment ref="S275" authorId="4" shapeId="0" xr:uid="{AC4ECDB9-277E-48D2-AF2A-DCE1BCA4EEE3}">
      <text>
        <r>
          <rPr>
            <sz val="10"/>
            <rFont val="Arial"/>
            <family val="2"/>
          </rPr>
          <t>Enter here a variation in the monthly cell phone reimbursement different from the calculated amount above.</t>
        </r>
      </text>
    </comment>
    <comment ref="T275" authorId="4" shapeId="0" xr:uid="{2AAE1E80-8ACF-4752-AE21-8E575078FE37}">
      <text>
        <r>
          <rPr>
            <sz val="10"/>
            <rFont val="Arial"/>
            <family val="2"/>
          </rPr>
          <t>Enter here a variation in the monthly cell phone reimbursement different from the calculated amount above.</t>
        </r>
      </text>
    </comment>
    <comment ref="U275" authorId="4" shapeId="0" xr:uid="{F66C9408-11CB-42D4-A6F5-0AE434A0A634}">
      <text>
        <r>
          <rPr>
            <sz val="10"/>
            <rFont val="Arial"/>
            <family val="2"/>
          </rPr>
          <t>Enter here a variation in the monthly cell phone reimbursement different from the calculated amount above.</t>
        </r>
      </text>
    </comment>
    <comment ref="V275" authorId="4" shapeId="0" xr:uid="{055E455A-0635-4538-A507-A8B130762076}">
      <text>
        <r>
          <rPr>
            <sz val="10"/>
            <rFont val="Arial"/>
            <family val="2"/>
          </rPr>
          <t>Enter here a variation in the monthly cell phone reimbursement different from the calculated amount above.</t>
        </r>
      </text>
    </comment>
    <comment ref="W275" authorId="4" shapeId="0" xr:uid="{45078A70-3630-44C2-BADB-34ED77923A4F}">
      <text>
        <r>
          <rPr>
            <sz val="10"/>
            <rFont val="Arial"/>
            <family val="2"/>
          </rPr>
          <t>Enter here a variation in the monthly cell phone reimbursement different from the calculated amount above.</t>
        </r>
      </text>
    </comment>
    <comment ref="X275" authorId="4" shapeId="0" xr:uid="{2BA00B56-AD26-4489-B304-F20295EF7C13}">
      <text>
        <r>
          <rPr>
            <sz val="10"/>
            <rFont val="Arial"/>
            <family val="2"/>
          </rPr>
          <t>Enter here a variation in the monthly cell phone reimbursement different from the calculated amount above.</t>
        </r>
      </text>
    </comment>
    <comment ref="Y275" authorId="4" shapeId="0" xr:uid="{E4E6453D-CADE-4515-B72A-52B1CEE23E52}">
      <text>
        <r>
          <rPr>
            <sz val="10"/>
            <rFont val="Arial"/>
            <family val="2"/>
          </rPr>
          <t>Enter here a variation in the monthly cell phone reimbursement different from the calculated amount above.</t>
        </r>
      </text>
    </comment>
    <comment ref="Z275" authorId="4" shapeId="0" xr:uid="{AFC1C549-42DF-439B-8D1D-D69371C51150}">
      <text>
        <r>
          <rPr>
            <sz val="10"/>
            <rFont val="Arial"/>
            <family val="2"/>
          </rPr>
          <t>Enter here a variation in the monthly cell phone reimbursement different from the calculated amount above.</t>
        </r>
      </text>
    </comment>
    <comment ref="AA275" authorId="4" shapeId="0" xr:uid="{A0DE4B10-58C4-494C-B189-39C9C4883B3F}">
      <text>
        <r>
          <rPr>
            <sz val="10"/>
            <rFont val="Arial"/>
            <family val="2"/>
          </rPr>
          <t>Enter here a variation in the monthly cell phone reimbursement different from the calculated amount above.</t>
        </r>
      </text>
    </comment>
    <comment ref="AB275" authorId="4" shapeId="0" xr:uid="{FA67E695-4870-4A1D-AA50-A32EA20AC95C}">
      <text>
        <r>
          <rPr>
            <sz val="10"/>
            <rFont val="Arial"/>
            <family val="2"/>
          </rPr>
          <t>Enter here a variation in the monthly cell phone reimbursement different from the calculated amount above.</t>
        </r>
      </text>
    </comment>
    <comment ref="AC275" authorId="4" shapeId="0" xr:uid="{1B8B722F-7091-4C03-BFA6-C622770B46E1}">
      <text>
        <r>
          <rPr>
            <sz val="10"/>
            <rFont val="Arial"/>
            <family val="2"/>
          </rPr>
          <t>Enter here a variation in the monthly cell phone reimbursement different from the calculated amount above.</t>
        </r>
      </text>
    </comment>
    <comment ref="AD275" authorId="4" shapeId="0" xr:uid="{A9DA2977-425A-4D94-AAE1-742E1BA6E74B}">
      <text>
        <r>
          <rPr>
            <sz val="10"/>
            <rFont val="Arial"/>
            <family val="2"/>
          </rPr>
          <t>Enter here a variation in the monthly cell phone reimbursement different from the calculated amount above.</t>
        </r>
      </text>
    </comment>
    <comment ref="S277" authorId="4" shapeId="0" xr:uid="{719DB503-BC0A-4CDC-B731-D3897AF16977}">
      <text>
        <r>
          <rPr>
            <sz val="10"/>
            <rFont val="Arial"/>
            <family val="2"/>
          </rPr>
          <t>Enter here a variation in the monthly cell phone reimbursement different from the calculated amount above.</t>
        </r>
      </text>
    </comment>
    <comment ref="T277" authorId="4" shapeId="0" xr:uid="{3D60D63A-7407-440F-BEB6-00CD7582FE5E}">
      <text>
        <r>
          <rPr>
            <sz val="10"/>
            <rFont val="Arial"/>
            <family val="2"/>
          </rPr>
          <t>Enter here a variation in the monthly cell phone reimbursement different from the calculated amount above.</t>
        </r>
      </text>
    </comment>
    <comment ref="U277" authorId="4" shapeId="0" xr:uid="{282245B6-1DA0-4A1C-92B5-C90E42739636}">
      <text>
        <r>
          <rPr>
            <sz val="10"/>
            <rFont val="Arial"/>
            <family val="2"/>
          </rPr>
          <t>Enter here a variation in the monthly cell phone reimbursement different from the calculated amount above.</t>
        </r>
      </text>
    </comment>
    <comment ref="V277" authorId="4" shapeId="0" xr:uid="{8190FB8B-1D98-4751-9E8E-775BF37296EF}">
      <text>
        <r>
          <rPr>
            <sz val="10"/>
            <rFont val="Arial"/>
            <family val="2"/>
          </rPr>
          <t>Enter here a variation in the monthly cell phone reimbursement different from the calculated amount above.</t>
        </r>
      </text>
    </comment>
    <comment ref="W277" authorId="4" shapeId="0" xr:uid="{E38BC425-713F-465D-B9D9-CED9355F3205}">
      <text>
        <r>
          <rPr>
            <sz val="10"/>
            <rFont val="Arial"/>
            <family val="2"/>
          </rPr>
          <t>Enter here a variation in the monthly cell phone reimbursement different from the calculated amount above.</t>
        </r>
      </text>
    </comment>
    <comment ref="X277" authorId="4" shapeId="0" xr:uid="{8C2B9D0D-A36A-4F5F-9D24-42194B737283}">
      <text>
        <r>
          <rPr>
            <sz val="10"/>
            <rFont val="Arial"/>
            <family val="2"/>
          </rPr>
          <t>Enter here a variation in the monthly cell phone reimbursement different from the calculated amount above.</t>
        </r>
      </text>
    </comment>
    <comment ref="Y277" authorId="4" shapeId="0" xr:uid="{511C9902-7A18-4CC3-806B-E8E08F8671EF}">
      <text>
        <r>
          <rPr>
            <sz val="10"/>
            <rFont val="Arial"/>
            <family val="2"/>
          </rPr>
          <t>Enter here a variation in the monthly cell phone reimbursement different from the calculated amount above.</t>
        </r>
      </text>
    </comment>
    <comment ref="Z277" authorId="4" shapeId="0" xr:uid="{AEEFEDB0-F60A-4233-93D1-17F598156BB9}">
      <text>
        <r>
          <rPr>
            <sz val="10"/>
            <rFont val="Arial"/>
            <family val="2"/>
          </rPr>
          <t>Enter here a variation in the monthly cell phone reimbursement different from the calculated amount above.</t>
        </r>
      </text>
    </comment>
    <comment ref="AA277" authorId="4" shapeId="0" xr:uid="{413D91A7-0C57-4457-A038-469E3BFECE29}">
      <text>
        <r>
          <rPr>
            <sz val="10"/>
            <rFont val="Arial"/>
            <family val="2"/>
          </rPr>
          <t>Enter here a variation in the monthly cell phone reimbursement different from the calculated amount above.</t>
        </r>
      </text>
    </comment>
    <comment ref="AB277" authorId="4" shapeId="0" xr:uid="{DB6110C6-10D7-485D-8BCE-24037E52C372}">
      <text>
        <r>
          <rPr>
            <sz val="10"/>
            <rFont val="Arial"/>
            <family val="2"/>
          </rPr>
          <t>Enter here a variation in the monthly cell phone reimbursement different from the calculated amount above.</t>
        </r>
      </text>
    </comment>
    <comment ref="AC277" authorId="4" shapeId="0" xr:uid="{E41D9422-83FA-4508-97F2-F5F6E19300A1}">
      <text>
        <r>
          <rPr>
            <sz val="10"/>
            <rFont val="Arial"/>
            <family val="2"/>
          </rPr>
          <t>Enter here a variation in the monthly cell phone reimbursement different from the calculated amount above.</t>
        </r>
      </text>
    </comment>
    <comment ref="AD277" authorId="4" shapeId="0" xr:uid="{2CCAF99A-16E0-4117-A7E1-A91A0708B855}">
      <text>
        <r>
          <rPr>
            <sz val="10"/>
            <rFont val="Arial"/>
            <family val="2"/>
          </rPr>
          <t>Enter here a variation in the monthly cell phone reimbursement different from the calculated amount above.</t>
        </r>
      </text>
    </comment>
    <comment ref="S279" authorId="4" shapeId="0" xr:uid="{BA9D19A3-3E43-45BF-A863-2B70F3A519E1}">
      <text>
        <r>
          <rPr>
            <sz val="10"/>
            <rFont val="Arial"/>
            <family val="2"/>
          </rPr>
          <t>Enter here a variation in the monthly cell phone reimbursement different from the calculated amount above.</t>
        </r>
      </text>
    </comment>
    <comment ref="T279" authorId="4" shapeId="0" xr:uid="{71D2FDFF-2E56-49BC-9EEF-6E8FD6BDF10B}">
      <text>
        <r>
          <rPr>
            <sz val="10"/>
            <rFont val="Arial"/>
            <family val="2"/>
          </rPr>
          <t>Enter here a variation in the monthly cell phone reimbursement different from the calculated amount above.</t>
        </r>
      </text>
    </comment>
    <comment ref="U279" authorId="4" shapeId="0" xr:uid="{FD7B864E-6469-4FEA-A5EB-E2F3D1F97520}">
      <text>
        <r>
          <rPr>
            <sz val="10"/>
            <rFont val="Arial"/>
            <family val="2"/>
          </rPr>
          <t>Enter here a variation in the monthly cell phone reimbursement different from the calculated amount above.</t>
        </r>
      </text>
    </comment>
    <comment ref="V279" authorId="4" shapeId="0" xr:uid="{38D2D433-2CB3-4898-8C31-A0ED8EC49A4E}">
      <text>
        <r>
          <rPr>
            <sz val="10"/>
            <rFont val="Arial"/>
            <family val="2"/>
          </rPr>
          <t>Enter here a variation in the monthly cell phone reimbursement different from the calculated amount above.</t>
        </r>
      </text>
    </comment>
    <comment ref="W279" authorId="4" shapeId="0" xr:uid="{06EF22D6-A6CD-47E9-9E8D-7089C53B861E}">
      <text>
        <r>
          <rPr>
            <sz val="10"/>
            <rFont val="Arial"/>
            <family val="2"/>
          </rPr>
          <t>Enter here a variation in the monthly cell phone reimbursement different from the calculated amount above.</t>
        </r>
      </text>
    </comment>
    <comment ref="X279" authorId="4" shapeId="0" xr:uid="{F01E1AE3-53D9-423E-972A-42B9F4323F15}">
      <text>
        <r>
          <rPr>
            <sz val="10"/>
            <rFont val="Arial"/>
            <family val="2"/>
          </rPr>
          <t>Enter here a variation in the monthly cell phone reimbursement different from the calculated amount above.</t>
        </r>
      </text>
    </comment>
    <comment ref="Y279" authorId="4" shapeId="0" xr:uid="{3899CA68-C450-4A61-AA23-93D16401D652}">
      <text>
        <r>
          <rPr>
            <sz val="10"/>
            <rFont val="Arial"/>
            <family val="2"/>
          </rPr>
          <t>Enter here a variation in the monthly cell phone reimbursement different from the calculated amount above.</t>
        </r>
      </text>
    </comment>
    <comment ref="Z279" authorId="4" shapeId="0" xr:uid="{5092F16D-E80B-42B0-9459-B520EC169CB7}">
      <text>
        <r>
          <rPr>
            <sz val="10"/>
            <rFont val="Arial"/>
            <family val="2"/>
          </rPr>
          <t>Enter here a variation in the monthly cell phone reimbursement different from the calculated amount above.</t>
        </r>
      </text>
    </comment>
    <comment ref="AA279" authorId="4" shapeId="0" xr:uid="{6F161093-88E9-4898-91BF-2C4EAFF9F2FC}">
      <text>
        <r>
          <rPr>
            <sz val="10"/>
            <rFont val="Arial"/>
            <family val="2"/>
          </rPr>
          <t>Enter here a variation in the monthly cell phone reimbursement different from the calculated amount above.</t>
        </r>
      </text>
    </comment>
    <comment ref="AB279" authorId="4" shapeId="0" xr:uid="{27B9F46E-9541-4C53-818C-B6F2EE53D718}">
      <text>
        <r>
          <rPr>
            <sz val="10"/>
            <rFont val="Arial"/>
            <family val="2"/>
          </rPr>
          <t>Enter here a variation in the monthly cell phone reimbursement different from the calculated amount above.</t>
        </r>
      </text>
    </comment>
    <comment ref="AC279" authorId="4" shapeId="0" xr:uid="{8429F378-697E-4A67-B3BB-78D4A7C557CB}">
      <text>
        <r>
          <rPr>
            <sz val="10"/>
            <rFont val="Arial"/>
            <family val="2"/>
          </rPr>
          <t>Enter here a variation in the monthly cell phone reimbursement different from the calculated amount above.</t>
        </r>
      </text>
    </comment>
    <comment ref="AD279" authorId="4" shapeId="0" xr:uid="{1046F031-607B-409F-A923-D0C81292AB96}">
      <text>
        <r>
          <rPr>
            <sz val="10"/>
            <rFont val="Arial"/>
            <family val="2"/>
          </rPr>
          <t>Enter here a variation in the monthly cell phone reimbursement different from the calculated amount above.</t>
        </r>
      </text>
    </comment>
    <comment ref="S281" authorId="4" shapeId="0" xr:uid="{8405DC82-9B43-4A9F-A0BA-DBC9F86895DE}">
      <text>
        <r>
          <rPr>
            <sz val="10"/>
            <rFont val="Arial"/>
            <family val="2"/>
          </rPr>
          <t>Enter here a variation in the monthly cell phone reimbursement different from the calculated amount above.</t>
        </r>
      </text>
    </comment>
    <comment ref="T281" authorId="4" shapeId="0" xr:uid="{0733E37C-2C93-4F87-B262-59CB00A1349C}">
      <text>
        <r>
          <rPr>
            <sz val="10"/>
            <rFont val="Arial"/>
            <family val="2"/>
          </rPr>
          <t>Enter here a variation in the monthly cell phone reimbursement different from the calculated amount above.</t>
        </r>
      </text>
    </comment>
    <comment ref="U281" authorId="4" shapeId="0" xr:uid="{B6BA5CB5-F8B8-4F60-82F9-735C7D3DE393}">
      <text>
        <r>
          <rPr>
            <sz val="10"/>
            <rFont val="Arial"/>
            <family val="2"/>
          </rPr>
          <t>Enter here a variation in the monthly cell phone reimbursement different from the calculated amount above.</t>
        </r>
      </text>
    </comment>
    <comment ref="V281" authorId="4" shapeId="0" xr:uid="{4820ED6A-A6EC-4389-96CA-72CAC484566A}">
      <text>
        <r>
          <rPr>
            <sz val="10"/>
            <rFont val="Arial"/>
            <family val="2"/>
          </rPr>
          <t>Enter here a variation in the monthly cell phone reimbursement different from the calculated amount above.</t>
        </r>
      </text>
    </comment>
    <comment ref="W281" authorId="4" shapeId="0" xr:uid="{9CA39680-6439-4C6A-9D31-D35FF91470C3}">
      <text>
        <r>
          <rPr>
            <sz val="10"/>
            <rFont val="Arial"/>
            <family val="2"/>
          </rPr>
          <t>Enter here a variation in the monthly cell phone reimbursement different from the calculated amount above.</t>
        </r>
      </text>
    </comment>
    <comment ref="X281" authorId="4" shapeId="0" xr:uid="{D56394D4-9BFD-4B29-8B69-5810DBECC337}">
      <text>
        <r>
          <rPr>
            <sz val="10"/>
            <rFont val="Arial"/>
            <family val="2"/>
          </rPr>
          <t>Enter here a variation in the monthly cell phone reimbursement different from the calculated amount above.</t>
        </r>
      </text>
    </comment>
    <comment ref="Y281" authorId="4" shapeId="0" xr:uid="{12A8CB96-02EB-4A71-A153-A7BF3E00F543}">
      <text>
        <r>
          <rPr>
            <sz val="10"/>
            <rFont val="Arial"/>
            <family val="2"/>
          </rPr>
          <t>Enter here a variation in the monthly cell phone reimbursement different from the calculated amount above.</t>
        </r>
      </text>
    </comment>
    <comment ref="Z281" authorId="4" shapeId="0" xr:uid="{376FC9B9-721E-4EF2-90FA-9D2E7701977F}">
      <text>
        <r>
          <rPr>
            <sz val="10"/>
            <rFont val="Arial"/>
            <family val="2"/>
          </rPr>
          <t>Enter here a variation in the monthly cell phone reimbursement different from the calculated amount above.</t>
        </r>
      </text>
    </comment>
    <comment ref="AA281" authorId="4" shapeId="0" xr:uid="{6B592D94-D940-472F-8C2C-580D57F715F3}">
      <text>
        <r>
          <rPr>
            <sz val="10"/>
            <rFont val="Arial"/>
            <family val="2"/>
          </rPr>
          <t>Enter here a variation in the monthly cell phone reimbursement different from the calculated amount above.</t>
        </r>
      </text>
    </comment>
    <comment ref="AB281" authorId="4" shapeId="0" xr:uid="{3D1A3FE2-617F-44FA-8E5E-86E2643D1E1E}">
      <text>
        <r>
          <rPr>
            <sz val="10"/>
            <rFont val="Arial"/>
            <family val="2"/>
          </rPr>
          <t>Enter here a variation in the monthly cell phone reimbursement different from the calculated amount above.</t>
        </r>
      </text>
    </comment>
    <comment ref="AC281" authorId="4" shapeId="0" xr:uid="{CB0F8F90-9A63-4126-9D63-6BEFCE19D512}">
      <text>
        <r>
          <rPr>
            <sz val="10"/>
            <rFont val="Arial"/>
            <family val="2"/>
          </rPr>
          <t>Enter here a variation in the monthly cell phone reimbursement different from the calculated amount above.</t>
        </r>
      </text>
    </comment>
    <comment ref="AD281" authorId="4" shapeId="0" xr:uid="{3449A098-4C26-4B01-9A66-4D5686FF0B37}">
      <text>
        <r>
          <rPr>
            <sz val="10"/>
            <rFont val="Arial"/>
            <family val="2"/>
          </rPr>
          <t>Enter here a variation in the monthly cell phone reimbursement different from the calculated amount above.</t>
        </r>
      </text>
    </comment>
    <comment ref="S283" authorId="4" shapeId="0" xr:uid="{95CDF5D5-D59E-4FA3-8EC7-AD597FE778DD}">
      <text>
        <r>
          <rPr>
            <sz val="10"/>
            <rFont val="Arial"/>
            <family val="2"/>
          </rPr>
          <t>Enter here a variation in the monthly cell phone reimbursement different from the calculated amount above.</t>
        </r>
      </text>
    </comment>
    <comment ref="T283" authorId="4" shapeId="0" xr:uid="{B54B08FE-E6D8-4BBD-BED9-6454242557C8}">
      <text>
        <r>
          <rPr>
            <sz val="10"/>
            <rFont val="Arial"/>
            <family val="2"/>
          </rPr>
          <t>Enter here a variation in the monthly cell phone reimbursement different from the calculated amount above.</t>
        </r>
      </text>
    </comment>
    <comment ref="U283" authorId="4" shapeId="0" xr:uid="{D959406A-1EE5-484A-AC9E-1F73F86E7977}">
      <text>
        <r>
          <rPr>
            <sz val="10"/>
            <rFont val="Arial"/>
            <family val="2"/>
          </rPr>
          <t>Enter here a variation in the monthly cell phone reimbursement different from the calculated amount above.</t>
        </r>
      </text>
    </comment>
    <comment ref="V283" authorId="4" shapeId="0" xr:uid="{65AFCCFC-A4C1-43BB-A360-B6BB01A6B201}">
      <text>
        <r>
          <rPr>
            <sz val="10"/>
            <rFont val="Arial"/>
            <family val="2"/>
          </rPr>
          <t>Enter here a variation in the monthly cell phone reimbursement different from the calculated amount above.</t>
        </r>
      </text>
    </comment>
    <comment ref="W283" authorId="4" shapeId="0" xr:uid="{E8E98720-E72D-409A-AEEC-23AD87871245}">
      <text>
        <r>
          <rPr>
            <sz val="10"/>
            <rFont val="Arial"/>
            <family val="2"/>
          </rPr>
          <t>Enter here a variation in the monthly cell phone reimbursement different from the calculated amount above.</t>
        </r>
      </text>
    </comment>
    <comment ref="X283" authorId="4" shapeId="0" xr:uid="{9007EF93-6EA1-4F7D-8280-BB23DDA851A3}">
      <text>
        <r>
          <rPr>
            <sz val="10"/>
            <rFont val="Arial"/>
            <family val="2"/>
          </rPr>
          <t>Enter here a variation in the monthly cell phone reimbursement different from the calculated amount above.</t>
        </r>
      </text>
    </comment>
    <comment ref="Y283" authorId="4" shapeId="0" xr:uid="{6422AF0A-E7B6-458B-B6E7-4C8D79B6014B}">
      <text>
        <r>
          <rPr>
            <sz val="10"/>
            <rFont val="Arial"/>
            <family val="2"/>
          </rPr>
          <t>Enter here a variation in the monthly cell phone reimbursement different from the calculated amount above.</t>
        </r>
      </text>
    </comment>
    <comment ref="Z283" authorId="4" shapeId="0" xr:uid="{D850A1CD-4DA7-41F7-8BAF-3FBF5E80BC8F}">
      <text>
        <r>
          <rPr>
            <sz val="10"/>
            <rFont val="Arial"/>
            <family val="2"/>
          </rPr>
          <t>Enter here a variation in the monthly cell phone reimbursement different from the calculated amount above.</t>
        </r>
      </text>
    </comment>
    <comment ref="AA283" authorId="4" shapeId="0" xr:uid="{D4026607-6680-46F0-A9E0-55F91110D37F}">
      <text>
        <r>
          <rPr>
            <sz val="10"/>
            <rFont val="Arial"/>
            <family val="2"/>
          </rPr>
          <t>Enter here a variation in the monthly cell phone reimbursement different from the calculated amount above.</t>
        </r>
      </text>
    </comment>
    <comment ref="AB283" authorId="4" shapeId="0" xr:uid="{8E105A5D-4CD2-4D63-ACFD-04F33083D2A2}">
      <text>
        <r>
          <rPr>
            <sz val="10"/>
            <rFont val="Arial"/>
            <family val="2"/>
          </rPr>
          <t>Enter here a variation in the monthly cell phone reimbursement different from the calculated amount above.</t>
        </r>
      </text>
    </comment>
    <comment ref="AC283" authorId="4" shapeId="0" xr:uid="{6C457893-DCB8-4BD0-8A50-D41348436EBB}">
      <text>
        <r>
          <rPr>
            <sz val="10"/>
            <rFont val="Arial"/>
            <family val="2"/>
          </rPr>
          <t>Enter here a variation in the monthly cell phone reimbursement different from the calculated amount above.</t>
        </r>
      </text>
    </comment>
    <comment ref="AD283" authorId="4" shapeId="0" xr:uid="{C2D068A2-BFD2-4A93-9441-7A42556788AA}">
      <text>
        <r>
          <rPr>
            <sz val="10"/>
            <rFont val="Arial"/>
            <family val="2"/>
          </rPr>
          <t>Enter here a variation in the monthly cell phone reimbursement different from the calculated amount above.</t>
        </r>
      </text>
    </comment>
    <comment ref="S285" authorId="4" shapeId="0" xr:uid="{58CA9C4A-F023-4A94-B2F0-1936558CF1B9}">
      <text>
        <r>
          <rPr>
            <sz val="10"/>
            <rFont val="Arial"/>
            <family val="2"/>
          </rPr>
          <t>Enter here a variation in the monthly cell phone reimbursement different from the calculated amount above.</t>
        </r>
      </text>
    </comment>
    <comment ref="T285" authorId="4" shapeId="0" xr:uid="{4B787228-91B6-4BFD-A042-D156B10EB0B0}">
      <text>
        <r>
          <rPr>
            <sz val="10"/>
            <rFont val="Arial"/>
            <family val="2"/>
          </rPr>
          <t>Enter here a variation in the monthly cell phone reimbursement different from the calculated amount above.</t>
        </r>
      </text>
    </comment>
    <comment ref="U285" authorId="4" shapeId="0" xr:uid="{F9232A24-F100-4B31-B51D-7FAC7EDCA7BC}">
      <text>
        <r>
          <rPr>
            <sz val="10"/>
            <rFont val="Arial"/>
            <family val="2"/>
          </rPr>
          <t>Enter here a variation in the monthly cell phone reimbursement different from the calculated amount above.</t>
        </r>
      </text>
    </comment>
    <comment ref="V285" authorId="4" shapeId="0" xr:uid="{4D476F6A-F806-482C-B64A-A1BF13E3010A}">
      <text>
        <r>
          <rPr>
            <sz val="10"/>
            <rFont val="Arial"/>
            <family val="2"/>
          </rPr>
          <t>Enter here a variation in the monthly cell phone reimbursement different from the calculated amount above.</t>
        </r>
      </text>
    </comment>
    <comment ref="W285" authorId="4" shapeId="0" xr:uid="{3DD9C278-6F88-4C18-BE3C-F9163483DA5A}">
      <text>
        <r>
          <rPr>
            <sz val="10"/>
            <rFont val="Arial"/>
            <family val="2"/>
          </rPr>
          <t>Enter here a variation in the monthly cell phone reimbursement different from the calculated amount above.</t>
        </r>
      </text>
    </comment>
    <comment ref="X285" authorId="4" shapeId="0" xr:uid="{46FC8B6A-62F2-4627-A013-C4A2F92B8DEB}">
      <text>
        <r>
          <rPr>
            <sz val="10"/>
            <rFont val="Arial"/>
            <family val="2"/>
          </rPr>
          <t>Enter here a variation in the monthly cell phone reimbursement different from the calculated amount above.</t>
        </r>
      </text>
    </comment>
    <comment ref="Y285" authorId="4" shapeId="0" xr:uid="{2B5AD182-67F8-4FB5-B9BC-68587D575E90}">
      <text>
        <r>
          <rPr>
            <sz val="10"/>
            <rFont val="Arial"/>
            <family val="2"/>
          </rPr>
          <t>Enter here a variation in the monthly cell phone reimbursement different from the calculated amount above.</t>
        </r>
      </text>
    </comment>
    <comment ref="Z285" authorId="4" shapeId="0" xr:uid="{E8C140F9-0906-4B0A-A254-5E44D8B02BDC}">
      <text>
        <r>
          <rPr>
            <sz val="10"/>
            <rFont val="Arial"/>
            <family val="2"/>
          </rPr>
          <t>Enter here a variation in the monthly cell phone reimbursement different from the calculated amount above.</t>
        </r>
      </text>
    </comment>
    <comment ref="AA285" authorId="4" shapeId="0" xr:uid="{B3C6FAAD-1C2E-4744-B1EB-813E2493E1DC}">
      <text>
        <r>
          <rPr>
            <sz val="10"/>
            <rFont val="Arial"/>
            <family val="2"/>
          </rPr>
          <t>Enter here a variation in the monthly cell phone reimbursement different from the calculated amount above.</t>
        </r>
      </text>
    </comment>
    <comment ref="AB285" authorId="4" shapeId="0" xr:uid="{ECD7AF45-A429-4553-93BB-1BE55F9627C9}">
      <text>
        <r>
          <rPr>
            <sz val="10"/>
            <rFont val="Arial"/>
            <family val="2"/>
          </rPr>
          <t>Enter here a variation in the monthly cell phone reimbursement different from the calculated amount above.</t>
        </r>
      </text>
    </comment>
    <comment ref="AC285" authorId="4" shapeId="0" xr:uid="{212F3F61-EBEA-4D7F-99EA-1F18B970D66A}">
      <text>
        <r>
          <rPr>
            <sz val="10"/>
            <rFont val="Arial"/>
            <family val="2"/>
          </rPr>
          <t>Enter here a variation in the monthly cell phone reimbursement different from the calculated amount above.</t>
        </r>
      </text>
    </comment>
    <comment ref="AD285" authorId="4" shapeId="0" xr:uid="{F29B932D-6CD8-42A8-9C0F-D4F6D4CF9238}">
      <text>
        <r>
          <rPr>
            <sz val="10"/>
            <rFont val="Arial"/>
            <family val="2"/>
          </rPr>
          <t>Enter here a variation in the monthly cell phone reimbursement different from the calculated amount above.</t>
        </r>
      </text>
    </comment>
    <comment ref="S287" authorId="4" shapeId="0" xr:uid="{C0548F09-DB78-4082-A0A5-F22497948F6C}">
      <text>
        <r>
          <rPr>
            <sz val="10"/>
            <rFont val="Arial"/>
            <family val="2"/>
          </rPr>
          <t>Enter here a variation in the monthly cell phone reimbursement different from the calculated amount above.</t>
        </r>
      </text>
    </comment>
    <comment ref="T287" authorId="4" shapeId="0" xr:uid="{DFD4F60D-C22A-4609-A777-98AF9CB1CDCC}">
      <text>
        <r>
          <rPr>
            <sz val="10"/>
            <rFont val="Arial"/>
            <family val="2"/>
          </rPr>
          <t>Enter here a variation in the monthly cell phone reimbursement different from the calculated amount above.</t>
        </r>
      </text>
    </comment>
    <comment ref="U287" authorId="4" shapeId="0" xr:uid="{1AAE2A25-3997-4173-9AAB-4A17A4DFEB87}">
      <text>
        <r>
          <rPr>
            <sz val="10"/>
            <rFont val="Arial"/>
            <family val="2"/>
          </rPr>
          <t>Enter here a variation in the monthly cell phone reimbursement different from the calculated amount above.</t>
        </r>
      </text>
    </comment>
    <comment ref="V287" authorId="4" shapeId="0" xr:uid="{5A832591-3684-40CC-ADA0-AEB0B7E6FD99}">
      <text>
        <r>
          <rPr>
            <sz val="10"/>
            <rFont val="Arial"/>
            <family val="2"/>
          </rPr>
          <t>Enter here a variation in the monthly cell phone reimbursement different from the calculated amount above.</t>
        </r>
      </text>
    </comment>
    <comment ref="W287" authorId="4" shapeId="0" xr:uid="{9C553CA4-2FDF-48CC-A4C0-71A1ADF94C75}">
      <text>
        <r>
          <rPr>
            <sz val="10"/>
            <rFont val="Arial"/>
            <family val="2"/>
          </rPr>
          <t>Enter here a variation in the monthly cell phone reimbursement different from the calculated amount above.</t>
        </r>
      </text>
    </comment>
    <comment ref="X287" authorId="4" shapeId="0" xr:uid="{2F909BF2-9D86-47E4-AB71-73509D066888}">
      <text>
        <r>
          <rPr>
            <sz val="10"/>
            <rFont val="Arial"/>
            <family val="2"/>
          </rPr>
          <t>Enter here a variation in the monthly cell phone reimbursement different from the calculated amount above.</t>
        </r>
      </text>
    </comment>
    <comment ref="Y287" authorId="4" shapeId="0" xr:uid="{241898BB-9EC8-4CC2-9DF4-1B0C4DDD154D}">
      <text>
        <r>
          <rPr>
            <sz val="10"/>
            <rFont val="Arial"/>
            <family val="2"/>
          </rPr>
          <t>Enter here a variation in the monthly cell phone reimbursement different from the calculated amount above.</t>
        </r>
      </text>
    </comment>
    <comment ref="Z287" authorId="4" shapeId="0" xr:uid="{8D00CB45-B2E4-4599-99DE-C0AFD6497E60}">
      <text>
        <r>
          <rPr>
            <sz val="10"/>
            <rFont val="Arial"/>
            <family val="2"/>
          </rPr>
          <t>Enter here a variation in the monthly cell phone reimbursement different from the calculated amount above.</t>
        </r>
      </text>
    </comment>
    <comment ref="AA287" authorId="4" shapeId="0" xr:uid="{596BB858-F9DF-4313-8987-6B9C0B7789F0}">
      <text>
        <r>
          <rPr>
            <sz val="10"/>
            <rFont val="Arial"/>
            <family val="2"/>
          </rPr>
          <t>Enter here a variation in the monthly cell phone reimbursement different from the calculated amount above.</t>
        </r>
      </text>
    </comment>
    <comment ref="AB287" authorId="4" shapeId="0" xr:uid="{9D524B7C-37EB-40EE-A954-A812B915FE3D}">
      <text>
        <r>
          <rPr>
            <sz val="10"/>
            <rFont val="Arial"/>
            <family val="2"/>
          </rPr>
          <t>Enter here a variation in the monthly cell phone reimbursement different from the calculated amount above.</t>
        </r>
      </text>
    </comment>
    <comment ref="AC287" authorId="4" shapeId="0" xr:uid="{3D2F2C55-297F-42E5-AB6C-4CF891C8BD8A}">
      <text>
        <r>
          <rPr>
            <sz val="10"/>
            <rFont val="Arial"/>
            <family val="2"/>
          </rPr>
          <t>Enter here a variation in the monthly cell phone reimbursement different from the calculated amount above.</t>
        </r>
      </text>
    </comment>
    <comment ref="AD287" authorId="4" shapeId="0" xr:uid="{4A420FB5-2269-4EEB-974B-A0CC795F6D5E}">
      <text>
        <r>
          <rPr>
            <sz val="10"/>
            <rFont val="Arial"/>
            <family val="2"/>
          </rPr>
          <t>Enter here a variation in the monthly cell phone reimbursement different from the calculated amount above.</t>
        </r>
      </text>
    </comment>
    <comment ref="S289" authorId="4" shapeId="0" xr:uid="{A0DB0326-436F-4819-A673-CB16D9CED0AF}">
      <text>
        <r>
          <rPr>
            <sz val="10"/>
            <rFont val="Arial"/>
            <family val="2"/>
          </rPr>
          <t>Enter here a variation in the monthly cell phone reimbursement different from the calculated amount above.</t>
        </r>
      </text>
    </comment>
    <comment ref="T289" authorId="4" shapeId="0" xr:uid="{6C714C81-8971-4EAD-B9B4-58C06AA5BC47}">
      <text>
        <r>
          <rPr>
            <sz val="10"/>
            <rFont val="Arial"/>
            <family val="2"/>
          </rPr>
          <t>Enter here a variation in the monthly cell phone reimbursement different from the calculated amount above.</t>
        </r>
      </text>
    </comment>
    <comment ref="U289" authorId="4" shapeId="0" xr:uid="{8471EBF2-B8C8-45D0-9ED9-040881C1AA37}">
      <text>
        <r>
          <rPr>
            <sz val="10"/>
            <rFont val="Arial"/>
            <family val="2"/>
          </rPr>
          <t>Enter here a variation in the monthly cell phone reimbursement different from the calculated amount above.</t>
        </r>
      </text>
    </comment>
    <comment ref="V289" authorId="4" shapeId="0" xr:uid="{6B03D091-827A-4B33-B173-3A1A886ACDCB}">
      <text>
        <r>
          <rPr>
            <sz val="10"/>
            <rFont val="Arial"/>
            <family val="2"/>
          </rPr>
          <t>Enter here a variation in the monthly cell phone reimbursement different from the calculated amount above.</t>
        </r>
      </text>
    </comment>
    <comment ref="W289" authorId="4" shapeId="0" xr:uid="{82E3D9D8-C70B-4AE8-BC37-59D1F0B46644}">
      <text>
        <r>
          <rPr>
            <sz val="10"/>
            <rFont val="Arial"/>
            <family val="2"/>
          </rPr>
          <t>Enter here a variation in the monthly cell phone reimbursement different from the calculated amount above.</t>
        </r>
      </text>
    </comment>
    <comment ref="X289" authorId="4" shapeId="0" xr:uid="{B270901D-8F01-49FB-9915-6393C4BB5B69}">
      <text>
        <r>
          <rPr>
            <sz val="10"/>
            <rFont val="Arial"/>
            <family val="2"/>
          </rPr>
          <t>Enter here a variation in the monthly cell phone reimbursement different from the calculated amount above.</t>
        </r>
      </text>
    </comment>
    <comment ref="Y289" authorId="4" shapeId="0" xr:uid="{2F84F5FD-7625-4550-884C-B00CDBB7B4E6}">
      <text>
        <r>
          <rPr>
            <sz val="10"/>
            <rFont val="Arial"/>
            <family val="2"/>
          </rPr>
          <t>Enter here a variation in the monthly cell phone reimbursement different from the calculated amount above.</t>
        </r>
      </text>
    </comment>
    <comment ref="Z289" authorId="4" shapeId="0" xr:uid="{B3930918-9990-4FC9-9BDA-FBE40438129B}">
      <text>
        <r>
          <rPr>
            <sz val="10"/>
            <rFont val="Arial"/>
            <family val="2"/>
          </rPr>
          <t>Enter here a variation in the monthly cell phone reimbursement different from the calculated amount above.</t>
        </r>
      </text>
    </comment>
    <comment ref="AA289" authorId="4" shapeId="0" xr:uid="{975C1E55-7134-4B76-BBB4-61CCB5504CB5}">
      <text>
        <r>
          <rPr>
            <sz val="10"/>
            <rFont val="Arial"/>
            <family val="2"/>
          </rPr>
          <t>Enter here a variation in the monthly cell phone reimbursement different from the calculated amount above.</t>
        </r>
      </text>
    </comment>
    <comment ref="AB289" authorId="4" shapeId="0" xr:uid="{ED152184-8975-47DA-BC18-517F7DFED1C6}">
      <text>
        <r>
          <rPr>
            <sz val="10"/>
            <rFont val="Arial"/>
            <family val="2"/>
          </rPr>
          <t>Enter here a variation in the monthly cell phone reimbursement different from the calculated amount above.</t>
        </r>
      </text>
    </comment>
    <comment ref="AC289" authorId="4" shapeId="0" xr:uid="{9CB4D39B-F4D2-461C-B9C0-67D84A526FBE}">
      <text>
        <r>
          <rPr>
            <sz val="10"/>
            <rFont val="Arial"/>
            <family val="2"/>
          </rPr>
          <t>Enter here a variation in the monthly cell phone reimbursement different from the calculated amount above.</t>
        </r>
      </text>
    </comment>
    <comment ref="AD289" authorId="4" shapeId="0" xr:uid="{C61E4B97-2EC8-4BE3-B212-5EDA59AABF74}">
      <text>
        <r>
          <rPr>
            <sz val="10"/>
            <rFont val="Arial"/>
            <family val="2"/>
          </rPr>
          <t>Enter here a variation in the monthly cell phone reimbursement different from the calculated amount above.</t>
        </r>
      </text>
    </comment>
    <comment ref="S295" authorId="4" shapeId="0" xr:uid="{9FDBF5DE-5EA8-4C0D-BA89-16462668E429}">
      <text>
        <r>
          <rPr>
            <sz val="10"/>
            <rFont val="Arial"/>
            <family val="2"/>
          </rPr>
          <t>Enter here a variation in the monthly cell phone reimbursement different from the calculated amount above.</t>
        </r>
      </text>
    </comment>
    <comment ref="T295" authorId="4" shapeId="0" xr:uid="{5E7ACFE6-D0E3-4166-A4A0-519654D83146}">
      <text>
        <r>
          <rPr>
            <sz val="10"/>
            <rFont val="Arial"/>
            <family val="2"/>
          </rPr>
          <t>Enter here a variation in the monthly cell phone reimbursement different from the calculated amount above.</t>
        </r>
      </text>
    </comment>
    <comment ref="U295" authorId="4" shapeId="0" xr:uid="{5D2D11D5-9450-4C26-B6BB-D8251D6D8900}">
      <text>
        <r>
          <rPr>
            <sz val="10"/>
            <rFont val="Arial"/>
            <family val="2"/>
          </rPr>
          <t>Enter here a variation in the monthly cell phone reimbursement different from the calculated amount above.</t>
        </r>
      </text>
    </comment>
    <comment ref="V295" authorId="4" shapeId="0" xr:uid="{2383136A-8B91-4D4C-9172-7D11F89720F1}">
      <text>
        <r>
          <rPr>
            <sz val="10"/>
            <rFont val="Arial"/>
            <family val="2"/>
          </rPr>
          <t>Enter here a variation in the monthly cell phone reimbursement different from the calculated amount above.</t>
        </r>
      </text>
    </comment>
    <comment ref="W295" authorId="4" shapeId="0" xr:uid="{9B9ABD99-2BD3-42A5-97A4-AF20CC562EBE}">
      <text>
        <r>
          <rPr>
            <sz val="10"/>
            <rFont val="Arial"/>
            <family val="2"/>
          </rPr>
          <t>Enter here a variation in the monthly cell phone reimbursement different from the calculated amount above.</t>
        </r>
      </text>
    </comment>
    <comment ref="X295" authorId="4" shapeId="0" xr:uid="{6E2DF29F-C724-490F-B1B3-83C036438143}">
      <text>
        <r>
          <rPr>
            <sz val="10"/>
            <rFont val="Arial"/>
            <family val="2"/>
          </rPr>
          <t>Enter here a variation in the monthly cell phone reimbursement different from the calculated amount above.</t>
        </r>
      </text>
    </comment>
    <comment ref="Y295" authorId="4" shapeId="0" xr:uid="{4C9BB102-059B-4537-A4F0-F03E21B0AEEB}">
      <text>
        <r>
          <rPr>
            <sz val="10"/>
            <rFont val="Arial"/>
            <family val="2"/>
          </rPr>
          <t>Enter here a variation in the monthly cell phone reimbursement different from the calculated amount above.</t>
        </r>
      </text>
    </comment>
    <comment ref="Z295" authorId="4" shapeId="0" xr:uid="{C641C8AA-ECFE-49E8-BF61-19791471DCAF}">
      <text>
        <r>
          <rPr>
            <sz val="10"/>
            <rFont val="Arial"/>
            <family val="2"/>
          </rPr>
          <t>Enter here a variation in the monthly cell phone reimbursement different from the calculated amount above.</t>
        </r>
      </text>
    </comment>
    <comment ref="AA295" authorId="4" shapeId="0" xr:uid="{335F9DD7-15C8-4CFA-9CAE-AA9F3272FF06}">
      <text>
        <r>
          <rPr>
            <sz val="10"/>
            <rFont val="Arial"/>
            <family val="2"/>
          </rPr>
          <t>Enter here a variation in the monthly cell phone reimbursement different from the calculated amount above.</t>
        </r>
      </text>
    </comment>
    <comment ref="AB295" authorId="4" shapeId="0" xr:uid="{053A9E22-F493-4130-8C41-65A90ACA7A38}">
      <text>
        <r>
          <rPr>
            <sz val="10"/>
            <rFont val="Arial"/>
            <family val="2"/>
          </rPr>
          <t>Enter here a variation in the monthly cell phone reimbursement different from the calculated amount above.</t>
        </r>
      </text>
    </comment>
    <comment ref="AC295" authorId="4" shapeId="0" xr:uid="{A18C0D5F-63E6-4547-9B9B-5ACE260853F0}">
      <text>
        <r>
          <rPr>
            <sz val="10"/>
            <rFont val="Arial"/>
            <family val="2"/>
          </rPr>
          <t>Enter here a variation in the monthly cell phone reimbursement different from the calculated amount above.</t>
        </r>
      </text>
    </comment>
    <comment ref="AD295" authorId="4" shapeId="0" xr:uid="{4DDC8FF4-603D-40D2-980B-B49313633CBC}">
      <text>
        <r>
          <rPr>
            <sz val="10"/>
            <rFont val="Arial"/>
            <family val="2"/>
          </rPr>
          <t>Enter here a variation in the monthly cell phone reimbursement different from the calculated amount above.</t>
        </r>
      </text>
    </comment>
  </commentList>
</comments>
</file>

<file path=xl/sharedStrings.xml><?xml version="1.0" encoding="utf-8"?>
<sst xmlns="http://schemas.openxmlformats.org/spreadsheetml/2006/main" count="356" uniqueCount="184">
  <si>
    <t>States</t>
  </si>
  <si>
    <t>Pay Period</t>
  </si>
  <si>
    <t>← Click this filter and uncheck "Hide" box to hide unused rows.</t>
  </si>
  <si>
    <t>Date of Rate</t>
  </si>
  <si>
    <t>AK</t>
  </si>
  <si>
    <t>AZ</t>
  </si>
  <si>
    <t>CA</t>
  </si>
  <si>
    <t>CO</t>
  </si>
  <si>
    <t>FL</t>
  </si>
  <si>
    <t>GA</t>
  </si>
  <si>
    <t>ID</t>
  </si>
  <si>
    <t>IL</t>
  </si>
  <si>
    <t>LA</t>
  </si>
  <si>
    <t>MD</t>
  </si>
  <si>
    <t>MN</t>
  </si>
  <si>
    <t>MO</t>
  </si>
  <si>
    <t>MT</t>
  </si>
  <si>
    <t>NC</t>
  </si>
  <si>
    <t>NJ</t>
  </si>
  <si>
    <t>NM</t>
  </si>
  <si>
    <t>NV</t>
  </si>
  <si>
    <t>OH</t>
  </si>
  <si>
    <t>OK</t>
  </si>
  <si>
    <t>OR</t>
  </si>
  <si>
    <t>PA</t>
  </si>
  <si>
    <t>SC</t>
  </si>
  <si>
    <t>TN</t>
  </si>
  <si>
    <t>TX</t>
  </si>
  <si>
    <t>UT</t>
  </si>
  <si>
    <t>VA</t>
  </si>
  <si>
    <t>WA</t>
  </si>
  <si>
    <t>WA Work comp SAFE plus LM Stop Gap rate</t>
  </si>
  <si>
    <t>Disability Surcharge -Excludign CA, WA, OR, CO</t>
  </si>
  <si>
    <t>ACTIVITY DIRECTOR PAYROLL</t>
  </si>
  <si>
    <t>6980-010  ACTIVITY DIRECTOR PAYROLL</t>
  </si>
  <si>
    <t>Month Pay Period begins</t>
  </si>
  <si>
    <t>New Rate</t>
  </si>
  <si>
    <t>Month of New Rate</t>
  </si>
  <si>
    <t>Payroll Tax</t>
  </si>
  <si>
    <t>eff.</t>
  </si>
  <si>
    <t>AREA SUPERVISOR</t>
  </si>
  <si>
    <t>6390-050  AREA SUPERVISOR</t>
  </si>
  <si>
    <t>Start Pay Period</t>
  </si>
  <si>
    <t xml:space="preserve">Payroll Tax Multiplier </t>
  </si>
  <si>
    <t xml:space="preserve">Rate updated </t>
  </si>
  <si>
    <t>Payroll Billings Periods per Month</t>
  </si>
  <si>
    <t>Workman's Comp. Non-Office</t>
  </si>
  <si>
    <t>BUS OPERATOR PAYROLL</t>
  </si>
  <si>
    <t>6980-020  BUS OPERATOR PAYROLL</t>
  </si>
  <si>
    <t>End Pay Period</t>
  </si>
  <si>
    <t xml:space="preserve">Workman's Comp. Multiplier </t>
  </si>
  <si>
    <t>Total</t>
  </si>
  <si>
    <t>Workman's Comp. Mult. Office</t>
  </si>
  <si>
    <t>COOK PAYROLL</t>
  </si>
  <si>
    <t>6930-010  COOK PAYROLL</t>
  </si>
  <si>
    <t>Pay Day</t>
  </si>
  <si>
    <t>Monthly Health Benefit Exp per employee:</t>
  </si>
  <si>
    <t>verified for 2026</t>
  </si>
  <si>
    <t>FOOD SERVICE PAYROLL</t>
  </si>
  <si>
    <t>6930-000  FOOD SERVICE PAYROLL</t>
  </si>
  <si>
    <t>Bill Day</t>
  </si>
  <si>
    <t>Health Benefit Billings</t>
  </si>
  <si>
    <t>MAINT CONSULT SALARY</t>
  </si>
  <si>
    <t>6500-400  MAINT CONSULT SALARY</t>
  </si>
  <si>
    <t>Days to accrue</t>
  </si>
  <si>
    <t>State where the property is located</t>
  </si>
  <si>
    <t>OTHER MAINTENANCE PAYROLL</t>
  </si>
  <si>
    <t>6500-210  OTHER MAINTENANCE PAYROLL</t>
  </si>
  <si>
    <t>PAYROLL ADMIN</t>
  </si>
  <si>
    <t>Safe Fund Rate</t>
  </si>
  <si>
    <t>Does the Property Accrue payroll Monthly?</t>
  </si>
  <si>
    <t>N</t>
  </si>
  <si>
    <t>PATROL SERVICE PAYROLL</t>
  </si>
  <si>
    <t>6531-000  PATROL SERVICE PAYROLL</t>
  </si>
  <si>
    <t>Jan</t>
  </si>
  <si>
    <t>Feb</t>
  </si>
  <si>
    <t>Mar</t>
  </si>
  <si>
    <t>Apr</t>
  </si>
  <si>
    <t>May</t>
  </si>
  <si>
    <t>Jun</t>
  </si>
  <si>
    <t>Jul</t>
  </si>
  <si>
    <t>Aug</t>
  </si>
  <si>
    <t>Sep</t>
  </si>
  <si>
    <t>Oct</t>
  </si>
  <si>
    <t>Nov</t>
  </si>
  <si>
    <t>Dec</t>
  </si>
  <si>
    <t>401K Match</t>
  </si>
  <si>
    <t xml:space="preserve"> # Occupied Units</t>
  </si>
  <si>
    <t>REPAIRS PAYROLL</t>
  </si>
  <si>
    <t>6540-000  REPAIRS PAYROLL</t>
  </si>
  <si>
    <t>x</t>
  </si>
  <si>
    <t>WAITRESS PAYROLL</t>
  </si>
  <si>
    <t>6930-020  WAITRESS PAYROLL</t>
  </si>
  <si>
    <t>Position</t>
  </si>
  <si>
    <t>Name</t>
  </si>
  <si>
    <t>Monthly Amount of Free Rent</t>
  </si>
  <si>
    <t>Home Prop.</t>
  </si>
  <si>
    <t>Health Ins. Head Count</t>
  </si>
  <si>
    <t>Instructor Lead Trainings</t>
  </si>
  <si>
    <t>Cell Phone Re-imbursement</t>
  </si>
  <si>
    <t>Date Hired at the Property</t>
  </si>
  <si>
    <t>Current Hourly Rate of Pay</t>
  </si>
  <si>
    <t>Proposed % Increase</t>
  </si>
  <si>
    <t>Proposed Rate of Pay</t>
  </si>
  <si>
    <t>Hours/ Week</t>
  </si>
  <si>
    <t>Overtime Hours/ Week</t>
  </si>
  <si>
    <t>varia-tion?</t>
  </si>
  <si>
    <t>Annual Salary</t>
  </si>
  <si>
    <t>Weeks per yr of Vacation (Optional)</t>
  </si>
  <si>
    <t>Footnote Formulas</t>
  </si>
  <si>
    <t>6330-000  MANAGEMENT SALARIES</t>
  </si>
  <si>
    <t>Community Director 1</t>
  </si>
  <si>
    <t>Karen Bryandt</t>
  </si>
  <si>
    <t>Do not  check this box</t>
  </si>
  <si>
    <t>Workman's Comp</t>
  </si>
  <si>
    <t>Community Director 2</t>
  </si>
  <si>
    <t>6330-100  ASST MANAGER SALARY</t>
  </si>
  <si>
    <t>Asst Community Director 1</t>
  </si>
  <si>
    <t>Michelle Daub</t>
  </si>
  <si>
    <t>Asst Community Director 2</t>
  </si>
  <si>
    <t>6330-200  LEASING SALARY</t>
  </si>
  <si>
    <t>Leasing Consultant 1</t>
  </si>
  <si>
    <t>Olivia Montes</t>
  </si>
  <si>
    <t>Leasing Consultant 2</t>
  </si>
  <si>
    <t>Leasing Consultant 3</t>
  </si>
  <si>
    <t>Leasing Consultant 4</t>
  </si>
  <si>
    <t>Leasing Consultant 5</t>
  </si>
  <si>
    <t>Leasing Consultant 6</t>
  </si>
  <si>
    <t>Leasing Consultant 7</t>
  </si>
  <si>
    <t>6500-100  MAINT. SUPERVISOR - SALARY</t>
  </si>
  <si>
    <t>Maintenance Supervisor 1</t>
  </si>
  <si>
    <t>William Sullivan</t>
  </si>
  <si>
    <t>6500-200  MAINT. TECHNICIAN - SALARY</t>
  </si>
  <si>
    <t>Maintenance Tech 1</t>
  </si>
  <si>
    <t>Tristan Mortensen</t>
  </si>
  <si>
    <t>51/2024</t>
  </si>
  <si>
    <t>Maintenance Tech 2</t>
  </si>
  <si>
    <t>Sergio Parra</t>
  </si>
  <si>
    <t>Maintenance Tech 3</t>
  </si>
  <si>
    <t>Jack Reed</t>
  </si>
  <si>
    <t>Maintenance Tech 4</t>
  </si>
  <si>
    <t>6560-000  INTERIOR PAINTING PAYROLL</t>
  </si>
  <si>
    <t>Painter 1</t>
  </si>
  <si>
    <t>Painter 2</t>
  </si>
  <si>
    <t>Painter 3</t>
  </si>
  <si>
    <t>6535-000  GROUNDS PAYROLL</t>
  </si>
  <si>
    <t>Grounds 1</t>
  </si>
  <si>
    <t>Grounds 2</t>
  </si>
  <si>
    <t>Grounds 3</t>
  </si>
  <si>
    <t>Grounds 4</t>
  </si>
  <si>
    <t>6510-000  CLEANING PAYROLL</t>
  </si>
  <si>
    <t>Cleaner 1</t>
  </si>
  <si>
    <t>Cleaner 2</t>
  </si>
  <si>
    <t>Cleaner 3</t>
  </si>
  <si>
    <t>Cleaner 4</t>
  </si>
  <si>
    <t>6335-000  BONUS SALARIES</t>
  </si>
  <si>
    <t>Bonus</t>
  </si>
  <si>
    <t>6380-000  PAYROLL ADMIN</t>
  </si>
  <si>
    <t>6723-000  HEALTH INS. &amp; EMPL. BENEFITS</t>
  </si>
  <si>
    <t>HEALTH INS. &amp; EMPL. BENEFITS</t>
  </si>
  <si>
    <t>Cell Phone Reimbursement added to salary after payroll tax and Workers' Comp</t>
  </si>
  <si>
    <t>Total/Unit</t>
  </si>
  <si>
    <t>6711-000  PAYROLL TAXES</t>
  </si>
  <si>
    <t>6722-000  WORKMAN'S COMPENSATION</t>
  </si>
  <si>
    <t>6722-100  SAFE FUND</t>
  </si>
  <si>
    <t>6711-090  401K CONTRIBUTION</t>
  </si>
  <si>
    <t>Payday</t>
  </si>
  <si>
    <t>Payroll Billing Day</t>
  </si>
  <si>
    <t>Half Health Benefit Billings</t>
  </si>
  <si>
    <t>Total Half HB Billing by Month</t>
  </si>
  <si>
    <t>Health Benefit Billing Per Employee</t>
  </si>
  <si>
    <t>In January</t>
  </si>
  <si>
    <t>In February</t>
  </si>
  <si>
    <t>In March</t>
  </si>
  <si>
    <t>In April</t>
  </si>
  <si>
    <t>In May</t>
  </si>
  <si>
    <t>In June</t>
  </si>
  <si>
    <t>In July</t>
  </si>
  <si>
    <t>In August</t>
  </si>
  <si>
    <t>In September</t>
  </si>
  <si>
    <t>In October</t>
  </si>
  <si>
    <t>In November</t>
  </si>
  <si>
    <t>In December</t>
  </si>
  <si>
    <t>3 Payroll billings in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</si>
</sst>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7" formatCode="&quot;$&quot;#,##0.00_);\(&quot;$&quot;#,##0.00\)"/>
    <numFmt numFmtId="41" formatCode="_(* #,##0_);_(* \(#,##0\);_(* &quot;-&quot;_);_(@_)"/>
    <numFmt numFmtId="164" formatCode="0.00000"/>
    <numFmt numFmtId="165" formatCode="#,##0.00000_);\(#,##0.00000\)"/>
    <numFmt numFmtId="166" formatCode="#,##0.0_);\(#,##0.0\)"/>
    <numFmt numFmtId="167" formatCode="0.0"/>
    <numFmt numFmtId="168" formatCode="&quot;$&quot;#,##0"/>
    <numFmt numFmtId="169" formatCode="&quot;$&quot;#,##0.00"/>
  </numFmts>
  <fonts count="16">
    <font>
      <sz val="10"/>
      <name val="Arial"/>
      <family val="2"/>
    </font>
    <font>
      <sz val="10"/>
      <name val="Arial"/>
      <family val="2"/>
    </font>
    <font>
      <sz val="6"/>
      <color theme="2"/>
      <name val="Arial"/>
      <family val="2"/>
    </font>
    <font>
      <sz val="8"/>
      <name val="Arial"/>
      <family val="2"/>
    </font>
    <font>
      <b/>
      <sz val="10"/>
      <name val="Arial"/>
      <family val="2"/>
    </font>
    <font>
      <sz val="10"/>
      <color rgb="FFFF0000"/>
      <name val="Arial"/>
      <family val="2"/>
    </font>
    <font>
      <b/>
      <sz val="9"/>
      <name val="Arial"/>
      <family val="2"/>
    </font>
    <font>
      <b/>
      <sz val="8"/>
      <name val="Arial"/>
      <family val="2"/>
    </font>
    <font>
      <sz val="9"/>
      <name val="Arial"/>
      <family val="2"/>
    </font>
    <font>
      <b/>
      <sz val="8"/>
      <color indexed="9"/>
      <name val="Arial"/>
      <family val="2"/>
    </font>
    <font>
      <sz val="10"/>
      <color theme="0"/>
      <name val="Arial"/>
      <family val="2"/>
    </font>
    <font>
      <b/>
      <sz val="10"/>
      <color rgb="FFFF0000"/>
      <name val="Arial"/>
      <family val="2"/>
    </font>
    <font>
      <b/>
      <sz val="8"/>
      <name val="Times New Roman"/>
      <family val="1"/>
    </font>
    <font>
      <b/>
      <sz val="10"/>
      <color indexed="10"/>
      <name val="Arial"/>
      <family val="2"/>
    </font>
    <font>
      <sz val="8"/>
      <color theme="1"/>
      <name val="Arial"/>
      <family val="2"/>
    </font>
    <font>
      <sz val="7"/>
      <name val="Arial"/>
      <family val="2"/>
    </font>
  </fonts>
  <fills count="13">
    <fill>
      <patternFill patternType="none"/>
    </fill>
    <fill>
      <patternFill patternType="gray125"/>
    </fill>
    <fill>
      <patternFill patternType="solid">
        <fgColor indexed="29"/>
        <bgColor indexed="64"/>
      </patternFill>
    </fill>
    <fill>
      <patternFill patternType="solid">
        <fgColor indexed="47"/>
        <bgColor indexed="64"/>
      </patternFill>
    </fill>
    <fill>
      <patternFill patternType="solid">
        <fgColor theme="0"/>
        <bgColor indexed="64"/>
      </patternFill>
    </fill>
    <fill>
      <patternFill patternType="solid">
        <fgColor indexed="22"/>
        <bgColor indexed="64"/>
      </patternFill>
    </fill>
    <fill>
      <patternFill patternType="solid">
        <fgColor rgb="FF44B0E4"/>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indexed="13"/>
        <bgColor indexed="64"/>
      </patternFill>
    </fill>
    <fill>
      <patternFill patternType="solid">
        <fgColor rgb="FF44B0E4"/>
        <bgColor rgb="FF44B0E4"/>
      </patternFill>
    </fill>
    <fill>
      <patternFill patternType="solid">
        <fgColor theme="6" tint="0.59999389629810485"/>
        <bgColor indexed="64"/>
      </patternFill>
    </fill>
    <fill>
      <patternFill patternType="solid">
        <fgColor theme="6" tint="0.39997558519241921"/>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bottom style="thin">
        <color indexed="64"/>
      </bottom>
      <diagonal/>
    </border>
    <border>
      <left/>
      <right/>
      <top/>
      <bottom style="thick">
        <color indexed="64"/>
      </bottom>
      <diagonal/>
    </border>
    <border>
      <left style="thick">
        <color indexed="64"/>
      </left>
      <right style="thick">
        <color indexed="22"/>
      </right>
      <top style="thick">
        <color indexed="64"/>
      </top>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indexed="64"/>
      </left>
      <right/>
      <top/>
      <bottom style="thin">
        <color indexed="64"/>
      </bottom>
      <diagonal/>
    </border>
    <border>
      <left/>
      <right/>
      <top style="thin">
        <color indexed="64"/>
      </top>
      <bottom/>
      <diagonal/>
    </border>
    <border>
      <left/>
      <right style="thin">
        <color auto="1"/>
      </right>
      <top style="thin">
        <color auto="1"/>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0">
    <xf numFmtId="0" fontId="0" fillId="0" borderId="0" xfId="0"/>
    <xf numFmtId="0" fontId="2" fillId="0" borderId="0" xfId="0" applyFont="1" applyProtection="1">
      <protection locked="0"/>
    </xf>
    <xf numFmtId="0" fontId="0" fillId="0" borderId="0" xfId="0" applyProtection="1">
      <protection locked="0"/>
    </xf>
    <xf numFmtId="0" fontId="3" fillId="0" borderId="0" xfId="0" applyFont="1" applyProtection="1">
      <protection locked="0"/>
    </xf>
    <xf numFmtId="0" fontId="3" fillId="2" borderId="0" xfId="0" applyFont="1" applyFill="1" applyProtection="1">
      <protection locked="0"/>
    </xf>
    <xf numFmtId="0" fontId="0" fillId="0" borderId="0" xfId="0" applyAlignment="1" applyProtection="1">
      <alignment horizontal="center"/>
      <protection locked="0"/>
    </xf>
    <xf numFmtId="0" fontId="1" fillId="0" borderId="0" xfId="0" applyFont="1" applyProtection="1">
      <protection locked="0"/>
    </xf>
    <xf numFmtId="37" fontId="4" fillId="0" borderId="0" xfId="0" applyNumberFormat="1" applyFont="1" applyProtection="1">
      <protection locked="0"/>
    </xf>
    <xf numFmtId="37" fontId="4" fillId="0" borderId="0" xfId="0" applyNumberFormat="1" applyFont="1" applyAlignment="1" applyProtection="1">
      <alignment horizontal="center"/>
      <protection locked="0"/>
    </xf>
    <xf numFmtId="0" fontId="1" fillId="0" borderId="0" xfId="0" applyFont="1" applyAlignment="1" applyProtection="1">
      <alignment horizontal="right"/>
      <protection locked="0"/>
    </xf>
    <xf numFmtId="0" fontId="5" fillId="0" borderId="0" xfId="0" applyFont="1" applyProtection="1">
      <protection locked="0"/>
    </xf>
    <xf numFmtId="0" fontId="4" fillId="0" borderId="0" xfId="0" applyFont="1" applyProtection="1">
      <protection locked="0"/>
    </xf>
    <xf numFmtId="37" fontId="4" fillId="0" borderId="1" xfId="0" applyNumberFormat="1" applyFont="1" applyBorder="1" applyProtection="1">
      <protection locked="0"/>
    </xf>
    <xf numFmtId="37" fontId="4" fillId="0" borderId="2" xfId="0" applyNumberFormat="1" applyFont="1" applyBorder="1" applyProtection="1">
      <protection locked="0"/>
    </xf>
    <xf numFmtId="37" fontId="4" fillId="0" borderId="2" xfId="0" applyNumberFormat="1" applyFont="1" applyBorder="1" applyAlignment="1" applyProtection="1">
      <alignment horizontal="center"/>
      <protection locked="0"/>
    </xf>
    <xf numFmtId="37" fontId="4" fillId="0" borderId="3" xfId="0" applyNumberFormat="1" applyFont="1" applyBorder="1" applyProtection="1">
      <protection locked="0"/>
    </xf>
    <xf numFmtId="14" fontId="0" fillId="3" borderId="0" xfId="0" applyNumberFormat="1" applyFill="1" applyProtection="1">
      <protection locked="0"/>
    </xf>
    <xf numFmtId="0" fontId="0" fillId="3" borderId="0" xfId="0" applyFill="1" applyProtection="1">
      <protection locked="0"/>
    </xf>
    <xf numFmtId="0" fontId="4" fillId="3" borderId="0" xfId="0" applyFont="1" applyFill="1" applyAlignment="1" applyProtection="1">
      <alignment horizontal="center"/>
      <protection locked="0"/>
    </xf>
    <xf numFmtId="0" fontId="4" fillId="3" borderId="0" xfId="0" applyFont="1" applyFill="1" applyAlignment="1" applyProtection="1">
      <alignment horizontal="left"/>
      <protection locked="0"/>
    </xf>
    <xf numFmtId="0" fontId="4" fillId="0" borderId="0" xfId="0" applyFont="1" applyAlignment="1" applyProtection="1">
      <alignment horizontal="center"/>
      <protection locked="0"/>
    </xf>
    <xf numFmtId="0" fontId="1" fillId="4" borderId="0" xfId="0" applyFont="1" applyFill="1" applyProtection="1">
      <protection locked="0"/>
    </xf>
    <xf numFmtId="0" fontId="1" fillId="0" borderId="0" xfId="0" applyFont="1" applyAlignment="1" applyProtection="1">
      <alignment horizontal="center"/>
      <protection locked="0"/>
    </xf>
    <xf numFmtId="0" fontId="2" fillId="0" borderId="0" xfId="0" applyFont="1" applyAlignment="1" applyProtection="1">
      <alignment vertical="center"/>
      <protection locked="0"/>
    </xf>
    <xf numFmtId="0" fontId="6" fillId="0" borderId="0" xfId="0" applyFont="1" applyAlignment="1" applyProtection="1">
      <alignment horizontal="center" wrapText="1"/>
      <protection locked="0"/>
    </xf>
    <xf numFmtId="0" fontId="7" fillId="0" borderId="0" xfId="0" applyFont="1" applyAlignment="1" applyProtection="1">
      <alignment horizontal="center" wrapText="1"/>
      <protection locked="0"/>
    </xf>
    <xf numFmtId="0" fontId="7" fillId="0" borderId="4" xfId="0" applyFont="1" applyBorder="1" applyAlignment="1" applyProtection="1">
      <alignment horizontal="center" wrapText="1"/>
      <protection locked="0"/>
    </xf>
    <xf numFmtId="0" fontId="7" fillId="0" borderId="5" xfId="0" applyFont="1" applyBorder="1" applyAlignment="1" applyProtection="1">
      <alignment horizontal="center" wrapText="1"/>
      <protection locked="0"/>
    </xf>
    <xf numFmtId="0" fontId="4" fillId="0" borderId="5" xfId="0" applyFont="1" applyBorder="1" applyAlignment="1" applyProtection="1">
      <alignment horizontal="center" vertical="top"/>
      <protection locked="0"/>
    </xf>
    <xf numFmtId="0" fontId="4" fillId="0" borderId="5" xfId="0" applyFont="1" applyBorder="1" applyProtection="1">
      <protection locked="0"/>
    </xf>
    <xf numFmtId="0" fontId="3" fillId="0" borderId="5" xfId="0" applyFont="1" applyBorder="1" applyProtection="1">
      <protection locked="0"/>
    </xf>
    <xf numFmtId="0" fontId="4" fillId="0" borderId="6" xfId="0" applyFont="1" applyBorder="1" applyProtection="1">
      <protection locked="0"/>
    </xf>
    <xf numFmtId="0" fontId="4" fillId="0" borderId="0" xfId="0" applyFont="1" applyAlignment="1" applyProtection="1">
      <alignment vertical="top"/>
      <protection locked="0"/>
    </xf>
    <xf numFmtId="0" fontId="0" fillId="3" borderId="0" xfId="0" applyFill="1" applyAlignment="1" applyProtection="1">
      <alignment horizontal="right"/>
      <protection locked="0"/>
    </xf>
    <xf numFmtId="14" fontId="0" fillId="5" borderId="0" xfId="0" applyNumberFormat="1" applyFill="1" applyProtection="1">
      <protection locked="0"/>
    </xf>
    <xf numFmtId="0" fontId="0" fillId="5" borderId="7" xfId="0" applyFill="1" applyBorder="1" applyProtection="1">
      <protection locked="0"/>
    </xf>
    <xf numFmtId="0" fontId="0" fillId="5" borderId="7" xfId="0" applyFill="1" applyBorder="1" applyAlignment="1" applyProtection="1">
      <alignment horizontal="center"/>
      <protection locked="0"/>
    </xf>
    <xf numFmtId="0" fontId="1" fillId="0" borderId="0" xfId="0" applyFont="1"/>
    <xf numFmtId="14" fontId="1" fillId="6" borderId="8" xfId="0" applyNumberFormat="1" applyFont="1" applyFill="1" applyBorder="1" applyProtection="1">
      <protection locked="0"/>
    </xf>
    <xf numFmtId="14" fontId="1" fillId="0" borderId="0" xfId="0" applyNumberFormat="1" applyFont="1" applyProtection="1">
      <protection locked="0"/>
    </xf>
    <xf numFmtId="37" fontId="3" fillId="0" borderId="0" xfId="0" applyNumberFormat="1" applyFont="1" applyAlignment="1" applyProtection="1">
      <alignment horizontal="left"/>
      <protection locked="0"/>
    </xf>
    <xf numFmtId="164" fontId="8" fillId="0" borderId="8" xfId="0" applyNumberFormat="1" applyFont="1" applyBorder="1" applyProtection="1">
      <protection locked="0"/>
    </xf>
    <xf numFmtId="0" fontId="8" fillId="0" borderId="0" xfId="0" applyFont="1" applyProtection="1">
      <protection locked="0"/>
    </xf>
    <xf numFmtId="164" fontId="1" fillId="0" borderId="0" xfId="0" applyNumberFormat="1" applyFont="1" applyProtection="1">
      <protection locked="0"/>
    </xf>
    <xf numFmtId="14" fontId="3" fillId="0" borderId="0" xfId="0" applyNumberFormat="1" applyFont="1" applyAlignment="1" applyProtection="1">
      <alignment horizontal="center"/>
      <protection locked="0"/>
    </xf>
    <xf numFmtId="0" fontId="0" fillId="0" borderId="0" xfId="0" applyProtection="1">
      <protection locked="0"/>
    </xf>
    <xf numFmtId="0" fontId="1" fillId="0" borderId="9" xfId="0" applyFont="1" applyBorder="1" applyAlignment="1" applyProtection="1">
      <alignment horizontal="center"/>
      <protection locked="0"/>
    </xf>
    <xf numFmtId="0" fontId="0" fillId="0" borderId="9" xfId="0" applyBorder="1" applyProtection="1">
      <protection locked="0"/>
    </xf>
    <xf numFmtId="14" fontId="0" fillId="5" borderId="7" xfId="0" applyNumberFormat="1" applyFill="1" applyBorder="1" applyProtection="1">
      <protection locked="0"/>
    </xf>
    <xf numFmtId="0" fontId="3" fillId="0" borderId="0" xfId="0" applyFont="1" applyAlignment="1" applyProtection="1">
      <alignment horizontal="left"/>
      <protection locked="0"/>
    </xf>
    <xf numFmtId="165" fontId="8" fillId="6" borderId="7" xfId="0" applyNumberFormat="1" applyFont="1" applyFill="1" applyBorder="1" applyProtection="1">
      <protection locked="0"/>
    </xf>
    <xf numFmtId="0" fontId="3" fillId="6" borderId="7" xfId="0" applyFont="1" applyFill="1" applyBorder="1" applyAlignment="1" applyProtection="1">
      <alignment horizontal="center"/>
      <protection locked="0"/>
    </xf>
    <xf numFmtId="0" fontId="3" fillId="0" borderId="0" xfId="0" applyFont="1" applyAlignment="1" applyProtection="1">
      <alignment horizontal="center"/>
      <protection locked="0"/>
    </xf>
    <xf numFmtId="0" fontId="3" fillId="2" borderId="0" xfId="0" applyFont="1" applyFill="1" applyAlignment="1" applyProtection="1">
      <alignment horizontal="left"/>
      <protection locked="0"/>
    </xf>
    <xf numFmtId="38" fontId="9" fillId="7" borderId="10" xfId="0" applyNumberFormat="1" applyFont="1" applyFill="1" applyBorder="1" applyAlignment="1">
      <alignment horizontal="center"/>
    </xf>
    <xf numFmtId="37" fontId="0" fillId="3" borderId="0" xfId="0" applyNumberFormat="1" applyFill="1" applyAlignment="1" applyProtection="1">
      <alignment horizontal="right"/>
      <protection locked="0"/>
    </xf>
    <xf numFmtId="39" fontId="3" fillId="6" borderId="11" xfId="0" applyNumberFormat="1" applyFont="1" applyFill="1" applyBorder="1" applyProtection="1">
      <protection locked="0"/>
    </xf>
    <xf numFmtId="0" fontId="1" fillId="6" borderId="7" xfId="0" applyFont="1" applyFill="1" applyBorder="1" applyAlignment="1" applyProtection="1">
      <alignment horizontal="center"/>
      <protection locked="0"/>
    </xf>
    <xf numFmtId="0" fontId="0" fillId="2" borderId="0" xfId="0" applyFill="1" applyProtection="1">
      <protection locked="0"/>
    </xf>
    <xf numFmtId="0" fontId="1" fillId="0" borderId="7" xfId="0" applyFont="1" applyBorder="1" applyAlignment="1">
      <alignment horizontal="center"/>
    </xf>
    <xf numFmtId="0" fontId="10" fillId="0" borderId="0" xfId="0" applyFont="1" applyProtection="1">
      <protection locked="0"/>
    </xf>
    <xf numFmtId="39" fontId="8" fillId="6" borderId="7" xfId="0" applyNumberFormat="1" applyFont="1" applyFill="1" applyBorder="1" applyProtection="1">
      <protection locked="0"/>
    </xf>
    <xf numFmtId="0" fontId="8" fillId="0" borderId="0" xfId="0" applyFont="1" applyAlignment="1" applyProtection="1">
      <alignment horizontal="right"/>
      <protection locked="0"/>
    </xf>
    <xf numFmtId="37" fontId="8" fillId="0" borderId="0" xfId="0" applyNumberFormat="1" applyFont="1" applyAlignment="1" applyProtection="1">
      <alignment horizontal="right"/>
      <protection locked="0"/>
    </xf>
    <xf numFmtId="37" fontId="6" fillId="0" borderId="7" xfId="0" applyNumberFormat="1" applyFont="1" applyBorder="1" applyProtection="1">
      <protection locked="0"/>
    </xf>
    <xf numFmtId="37" fontId="8" fillId="6" borderId="7" xfId="0" applyNumberFormat="1" applyFont="1" applyFill="1" applyBorder="1" applyProtection="1">
      <protection locked="0"/>
    </xf>
    <xf numFmtId="5" fontId="11" fillId="0" borderId="0" xfId="0" applyNumberFormat="1" applyFont="1" applyAlignment="1" applyProtection="1">
      <alignment horizontal="center"/>
      <protection locked="0"/>
    </xf>
    <xf numFmtId="0" fontId="1" fillId="0" borderId="0" xfId="0" applyFont="1" applyAlignment="1" applyProtection="1">
      <alignment horizontal="center" wrapText="1"/>
      <protection locked="0"/>
    </xf>
    <xf numFmtId="5" fontId="3" fillId="0" borderId="0" xfId="0" applyNumberFormat="1" applyFont="1" applyProtection="1">
      <protection locked="0"/>
    </xf>
    <xf numFmtId="7" fontId="1" fillId="0" borderId="0" xfId="0" applyNumberFormat="1" applyFont="1" applyProtection="1">
      <protection locked="0"/>
    </xf>
    <xf numFmtId="166" fontId="1" fillId="0" borderId="0" xfId="0" applyNumberFormat="1" applyFont="1" applyProtection="1">
      <protection locked="0"/>
    </xf>
    <xf numFmtId="37" fontId="7" fillId="8" borderId="7" xfId="0" applyNumberFormat="1" applyFont="1" applyFill="1" applyBorder="1" applyAlignment="1" applyProtection="1">
      <alignment horizontal="left"/>
      <protection locked="0"/>
    </xf>
    <xf numFmtId="37" fontId="7" fillId="8" borderId="7" xfId="0" applyNumberFormat="1" applyFont="1" applyFill="1" applyBorder="1" applyAlignment="1" applyProtection="1">
      <alignment horizontal="center" wrapText="1"/>
      <protection locked="0"/>
    </xf>
    <xf numFmtId="37" fontId="12" fillId="2" borderId="7" xfId="0" applyNumberFormat="1" applyFont="1" applyFill="1" applyBorder="1" applyAlignment="1" applyProtection="1">
      <alignment horizontal="center" wrapText="1"/>
      <protection locked="0"/>
    </xf>
    <xf numFmtId="37" fontId="1" fillId="0" borderId="12" xfId="0" applyNumberFormat="1" applyFont="1" applyBorder="1" applyAlignment="1" applyProtection="1">
      <alignment horizontal="left"/>
      <protection locked="0"/>
    </xf>
    <xf numFmtId="0" fontId="3" fillId="0" borderId="7" xfId="0" applyFont="1" applyBorder="1" applyAlignment="1" applyProtection="1">
      <alignment horizontal="left"/>
      <protection locked="0"/>
    </xf>
    <xf numFmtId="37" fontId="3" fillId="6" borderId="7" xfId="0" applyNumberFormat="1" applyFont="1" applyFill="1" applyBorder="1" applyAlignment="1" applyProtection="1">
      <alignment horizontal="left"/>
      <protection locked="0"/>
    </xf>
    <xf numFmtId="5" fontId="3" fillId="6" borderId="7" xfId="0" applyNumberFormat="1" applyFont="1" applyFill="1" applyBorder="1" applyAlignment="1" applyProtection="1">
      <alignment horizontal="center"/>
      <protection locked="0"/>
    </xf>
    <xf numFmtId="37" fontId="3" fillId="6" borderId="7" xfId="0" applyNumberFormat="1" applyFont="1" applyFill="1" applyBorder="1" applyAlignment="1" applyProtection="1">
      <alignment horizontal="center"/>
      <protection locked="0"/>
    </xf>
    <xf numFmtId="2" fontId="3" fillId="6" borderId="7" xfId="0" applyNumberFormat="1" applyFont="1" applyFill="1" applyBorder="1" applyAlignment="1" applyProtection="1">
      <alignment horizontal="center"/>
      <protection locked="0"/>
    </xf>
    <xf numFmtId="1" fontId="3" fillId="6" borderId="7" xfId="0" applyNumberFormat="1" applyFont="1" applyFill="1" applyBorder="1" applyAlignment="1" applyProtection="1">
      <alignment horizontal="center"/>
      <protection locked="0"/>
    </xf>
    <xf numFmtId="14" fontId="3" fillId="6" borderId="7" xfId="0" applyNumberFormat="1" applyFont="1" applyFill="1" applyBorder="1" applyAlignment="1" applyProtection="1">
      <alignment horizontal="center"/>
      <protection locked="0"/>
    </xf>
    <xf numFmtId="7" fontId="3" fillId="6" borderId="7" xfId="0" applyNumberFormat="1" applyFont="1" applyFill="1" applyBorder="1" applyAlignment="1" applyProtection="1">
      <alignment horizontal="center"/>
      <protection locked="0"/>
    </xf>
    <xf numFmtId="10" fontId="3" fillId="6" borderId="7" xfId="0" applyNumberFormat="1" applyFont="1" applyFill="1" applyBorder="1" applyAlignment="1" applyProtection="1">
      <alignment horizontal="center"/>
      <protection locked="0"/>
    </xf>
    <xf numFmtId="7" fontId="3" fillId="4" borderId="7" xfId="0" applyNumberFormat="1" applyFont="1" applyFill="1" applyBorder="1" applyAlignment="1" applyProtection="1">
      <alignment horizontal="center"/>
      <protection locked="0"/>
    </xf>
    <xf numFmtId="166" fontId="3" fillId="6" borderId="7" xfId="0" applyNumberFormat="1" applyFont="1" applyFill="1" applyBorder="1" applyAlignment="1" applyProtection="1">
      <alignment horizontal="center"/>
      <protection locked="0"/>
    </xf>
    <xf numFmtId="37" fontId="3" fillId="2" borderId="7" xfId="0" applyNumberFormat="1" applyFont="1" applyFill="1" applyBorder="1" applyAlignment="1" applyProtection="1">
      <alignment horizontal="center"/>
      <protection locked="0"/>
    </xf>
    <xf numFmtId="3" fontId="3" fillId="0" borderId="7" xfId="0" applyNumberFormat="1" applyFont="1" applyBorder="1" applyAlignment="1" applyProtection="1">
      <alignment horizontal="center"/>
      <protection locked="0"/>
    </xf>
    <xf numFmtId="167" fontId="3" fillId="6" borderId="7" xfId="0" applyNumberFormat="1" applyFont="1" applyFill="1" applyBorder="1" applyAlignment="1" applyProtection="1">
      <alignment horizontal="center"/>
      <protection locked="0"/>
    </xf>
    <xf numFmtId="168" fontId="3" fillId="0" borderId="7" xfId="0" applyNumberFormat="1" applyFont="1" applyBorder="1"/>
    <xf numFmtId="168" fontId="3" fillId="0" borderId="7" xfId="0" applyNumberFormat="1" applyFont="1" applyBorder="1" applyAlignment="1" applyProtection="1">
      <alignment horizontal="right"/>
      <protection locked="0"/>
    </xf>
    <xf numFmtId="168" fontId="1" fillId="0" borderId="0" xfId="0" applyNumberFormat="1" applyFont="1" applyProtection="1">
      <protection locked="0"/>
    </xf>
    <xf numFmtId="0" fontId="0" fillId="0" borderId="12" xfId="0" applyBorder="1" applyProtection="1">
      <protection locked="0"/>
    </xf>
    <xf numFmtId="0" fontId="0" fillId="0" borderId="13" xfId="0" applyBorder="1" applyProtection="1">
      <protection locked="0"/>
    </xf>
    <xf numFmtId="37" fontId="3" fillId="6" borderId="7" xfId="0" applyNumberFormat="1" applyFont="1" applyFill="1" applyBorder="1" applyProtection="1">
      <protection locked="0"/>
    </xf>
    <xf numFmtId="3" fontId="1" fillId="0" borderId="0" xfId="0" applyNumberFormat="1" applyFont="1" applyProtection="1">
      <protection locked="0"/>
    </xf>
    <xf numFmtId="0" fontId="1" fillId="2" borderId="0" xfId="0" applyFont="1" applyFill="1"/>
    <xf numFmtId="37" fontId="0" fillId="2" borderId="12" xfId="0" applyNumberFormat="1" applyFill="1" applyBorder="1" applyAlignment="1">
      <alignment horizontal="left"/>
    </xf>
    <xf numFmtId="0" fontId="3" fillId="2" borderId="14" xfId="0" applyFont="1" applyFill="1" applyBorder="1" applyAlignment="1">
      <alignment horizontal="left"/>
    </xf>
    <xf numFmtId="37" fontId="3" fillId="2" borderId="14" xfId="0" applyNumberFormat="1" applyFont="1" applyFill="1" applyBorder="1" applyAlignment="1">
      <alignment horizontal="center"/>
    </xf>
    <xf numFmtId="2" fontId="3" fillId="2" borderId="14" xfId="0" applyNumberFormat="1" applyFont="1" applyFill="1" applyBorder="1" applyAlignment="1">
      <alignment horizontal="center"/>
    </xf>
    <xf numFmtId="7" fontId="3" fillId="2" borderId="14" xfId="0" applyNumberFormat="1" applyFont="1" applyFill="1" applyBorder="1" applyAlignment="1">
      <alignment horizontal="center"/>
    </xf>
    <xf numFmtId="166" fontId="3" fillId="2" borderId="14" xfId="0" applyNumberFormat="1" applyFont="1" applyFill="1" applyBorder="1" applyAlignment="1">
      <alignment horizontal="center"/>
    </xf>
    <xf numFmtId="3" fontId="3" fillId="9" borderId="14" xfId="0" applyNumberFormat="1" applyFont="1" applyFill="1" applyBorder="1" applyAlignment="1">
      <alignment horizontal="center"/>
    </xf>
    <xf numFmtId="3" fontId="3" fillId="2" borderId="14" xfId="0" applyNumberFormat="1" applyFont="1" applyFill="1" applyBorder="1" applyAlignment="1">
      <alignment horizontal="center"/>
    </xf>
    <xf numFmtId="0" fontId="0" fillId="2" borderId="0" xfId="0" applyFill="1"/>
    <xf numFmtId="37" fontId="3" fillId="9" borderId="7" xfId="0" applyNumberFormat="1" applyFont="1" applyFill="1" applyBorder="1"/>
    <xf numFmtId="168" fontId="3" fillId="2" borderId="14" xfId="0" applyNumberFormat="1" applyFont="1" applyFill="1" applyBorder="1" applyAlignment="1">
      <alignment horizontal="right"/>
    </xf>
    <xf numFmtId="0" fontId="0" fillId="4" borderId="0" xfId="0" applyFill="1" applyProtection="1">
      <protection locked="0"/>
    </xf>
    <xf numFmtId="0" fontId="0" fillId="4" borderId="0" xfId="0" applyFill="1"/>
    <xf numFmtId="37" fontId="3" fillId="2" borderId="7" xfId="0" applyNumberFormat="1" applyFont="1" applyFill="1" applyBorder="1"/>
    <xf numFmtId="37" fontId="1" fillId="0" borderId="0" xfId="0" applyNumberFormat="1" applyFont="1" applyAlignment="1" applyProtection="1">
      <alignment horizontal="left"/>
      <protection locked="0"/>
    </xf>
    <xf numFmtId="0" fontId="3" fillId="0" borderId="15" xfId="0" applyFont="1" applyBorder="1" applyAlignment="1" applyProtection="1">
      <alignment horizontal="left"/>
      <protection locked="0"/>
    </xf>
    <xf numFmtId="37" fontId="3" fillId="0" borderId="11" xfId="0" applyNumberFormat="1" applyFont="1" applyBorder="1" applyProtection="1">
      <protection locked="0"/>
    </xf>
    <xf numFmtId="37" fontId="3" fillId="0" borderId="16" xfId="0" applyNumberFormat="1" applyFont="1" applyBorder="1" applyProtection="1">
      <protection locked="0"/>
    </xf>
    <xf numFmtId="168" fontId="3" fillId="0" borderId="14" xfId="0" applyNumberFormat="1" applyFont="1" applyBorder="1" applyAlignment="1" applyProtection="1">
      <alignment horizontal="right"/>
      <protection locked="0"/>
    </xf>
    <xf numFmtId="0" fontId="1" fillId="4" borderId="0" xfId="0" applyFont="1" applyFill="1"/>
    <xf numFmtId="37" fontId="3" fillId="0" borderId="16" xfId="0" quotePrefix="1" applyNumberFormat="1" applyFont="1" applyBorder="1" applyProtection="1">
      <protection locked="0"/>
    </xf>
    <xf numFmtId="0" fontId="3" fillId="0" borderId="17" xfId="0" applyFont="1" applyBorder="1" applyAlignment="1" applyProtection="1">
      <alignment horizontal="left"/>
      <protection locked="0"/>
    </xf>
    <xf numFmtId="37" fontId="3" fillId="0" borderId="11" xfId="0" applyNumberFormat="1" applyFont="1" applyBorder="1" applyAlignment="1" applyProtection="1">
      <alignment horizontal="left"/>
      <protection locked="0"/>
    </xf>
    <xf numFmtId="0" fontId="0" fillId="0" borderId="11" xfId="0" applyBorder="1" applyProtection="1">
      <protection locked="0"/>
    </xf>
    <xf numFmtId="41" fontId="3" fillId="0" borderId="16" xfId="0" applyNumberFormat="1" applyFont="1" applyBorder="1" applyProtection="1">
      <protection locked="0"/>
    </xf>
    <xf numFmtId="0" fontId="3" fillId="0" borderId="13" xfId="0" applyFont="1" applyBorder="1" applyAlignment="1" applyProtection="1">
      <alignment horizontal="left"/>
      <protection locked="0"/>
    </xf>
    <xf numFmtId="5" fontId="3" fillId="6" borderId="13" xfId="0" applyNumberFormat="1" applyFont="1" applyFill="1" applyBorder="1" applyAlignment="1" applyProtection="1">
      <alignment horizontal="center"/>
      <protection locked="0"/>
    </xf>
    <xf numFmtId="37" fontId="3" fillId="6" borderId="13" xfId="0" applyNumberFormat="1" applyFont="1" applyFill="1" applyBorder="1" applyAlignment="1" applyProtection="1">
      <alignment horizontal="center"/>
      <protection locked="0"/>
    </xf>
    <xf numFmtId="2" fontId="3" fillId="6" borderId="13" xfId="0" applyNumberFormat="1" applyFont="1" applyFill="1" applyBorder="1" applyAlignment="1" applyProtection="1">
      <alignment horizontal="center"/>
      <protection locked="0"/>
    </xf>
    <xf numFmtId="37" fontId="3" fillId="2" borderId="13" xfId="0" applyNumberFormat="1" applyFont="1" applyFill="1" applyBorder="1" applyAlignment="1" applyProtection="1">
      <alignment horizontal="center"/>
      <protection locked="0"/>
    </xf>
    <xf numFmtId="3" fontId="3" fillId="0" borderId="13" xfId="0" applyNumberFormat="1" applyFont="1" applyBorder="1" applyAlignment="1" applyProtection="1">
      <alignment horizontal="center"/>
      <protection locked="0"/>
    </xf>
    <xf numFmtId="37" fontId="1" fillId="0" borderId="12" xfId="0" applyNumberFormat="1" applyFont="1" applyBorder="1" applyAlignment="1" applyProtection="1">
      <alignment horizontal="left"/>
      <protection locked="0"/>
    </xf>
    <xf numFmtId="37" fontId="0" fillId="2" borderId="12" xfId="0" applyNumberFormat="1" applyFill="1" applyBorder="1" applyAlignment="1" applyProtection="1">
      <alignment horizontal="left"/>
      <protection locked="0"/>
    </xf>
    <xf numFmtId="0" fontId="3" fillId="2" borderId="14" xfId="0" applyFont="1" applyFill="1" applyBorder="1" applyAlignment="1" applyProtection="1">
      <alignment horizontal="left"/>
      <protection locked="0"/>
    </xf>
    <xf numFmtId="37" fontId="3" fillId="2" borderId="14" xfId="0" applyNumberFormat="1" applyFont="1" applyFill="1" applyBorder="1" applyAlignment="1" applyProtection="1">
      <alignment horizontal="center"/>
      <protection locked="0"/>
    </xf>
    <xf numFmtId="2" fontId="3" fillId="2" borderId="14" xfId="0" applyNumberFormat="1" applyFont="1" applyFill="1" applyBorder="1" applyAlignment="1" applyProtection="1">
      <alignment horizontal="center"/>
      <protection locked="0"/>
    </xf>
    <xf numFmtId="7" fontId="3" fillId="2" borderId="14" xfId="0" applyNumberFormat="1" applyFont="1" applyFill="1" applyBorder="1" applyAlignment="1" applyProtection="1">
      <alignment horizontal="center"/>
      <protection locked="0"/>
    </xf>
    <xf numFmtId="166" fontId="3" fillId="2" borderId="14" xfId="0" applyNumberFormat="1" applyFont="1" applyFill="1" applyBorder="1" applyAlignment="1" applyProtection="1">
      <alignment horizontal="center"/>
      <protection locked="0"/>
    </xf>
    <xf numFmtId="3" fontId="3" fillId="2" borderId="14" xfId="0" applyNumberFormat="1" applyFont="1" applyFill="1" applyBorder="1" applyAlignment="1" applyProtection="1">
      <alignment horizontal="center"/>
      <protection locked="0"/>
    </xf>
    <xf numFmtId="168" fontId="3" fillId="2" borderId="14" xfId="0" applyNumberFormat="1" applyFont="1" applyFill="1" applyBorder="1" applyAlignment="1" applyProtection="1">
      <alignment horizontal="right"/>
      <protection locked="0"/>
    </xf>
    <xf numFmtId="37" fontId="3" fillId="2" borderId="7" xfId="0" applyNumberFormat="1" applyFont="1" applyFill="1" applyBorder="1" applyProtection="1">
      <protection locked="0"/>
    </xf>
    <xf numFmtId="168" fontId="3" fillId="0" borderId="0" xfId="0" applyNumberFormat="1" applyFont="1" applyAlignment="1" applyProtection="1">
      <alignment horizontal="right"/>
      <protection locked="0"/>
    </xf>
    <xf numFmtId="0" fontId="3" fillId="6" borderId="7" xfId="0" applyFont="1" applyFill="1" applyBorder="1" applyAlignment="1" applyProtection="1">
      <alignment horizontal="left"/>
      <protection locked="0"/>
    </xf>
    <xf numFmtId="37" fontId="3" fillId="0" borderId="11" xfId="0" applyNumberFormat="1" applyFont="1" applyBorder="1" applyAlignment="1" applyProtection="1">
      <alignment horizontal="center"/>
      <protection locked="0"/>
    </xf>
    <xf numFmtId="37" fontId="3" fillId="0" borderId="0" xfId="0" applyNumberFormat="1" applyFont="1" applyAlignment="1" applyProtection="1">
      <alignment horizontal="center"/>
      <protection locked="0"/>
    </xf>
    <xf numFmtId="5" fontId="3" fillId="0" borderId="13" xfId="0" applyNumberFormat="1" applyFont="1" applyBorder="1" applyAlignment="1" applyProtection="1">
      <alignment horizontal="center"/>
      <protection locked="0"/>
    </xf>
    <xf numFmtId="37" fontId="3" fillId="0" borderId="13" xfId="0" applyNumberFormat="1" applyFont="1" applyBorder="1" applyAlignment="1" applyProtection="1">
      <alignment horizontal="center"/>
      <protection locked="0"/>
    </xf>
    <xf numFmtId="39" fontId="3" fillId="0" borderId="13" xfId="0" applyNumberFormat="1" applyFont="1" applyBorder="1" applyAlignment="1" applyProtection="1">
      <alignment horizontal="center"/>
      <protection locked="0"/>
    </xf>
    <xf numFmtId="7" fontId="3" fillId="0" borderId="0" xfId="0" applyNumberFormat="1" applyFont="1" applyAlignment="1" applyProtection="1">
      <alignment horizontal="center"/>
      <protection locked="0"/>
    </xf>
    <xf numFmtId="166" fontId="3" fillId="0" borderId="0" xfId="0" applyNumberFormat="1" applyFont="1" applyAlignment="1" applyProtection="1">
      <alignment horizontal="center"/>
      <protection locked="0"/>
    </xf>
    <xf numFmtId="37" fontId="3" fillId="2" borderId="0" xfId="0" applyNumberFormat="1" applyFont="1" applyFill="1" applyAlignment="1" applyProtection="1">
      <alignment horizontal="left"/>
      <protection locked="0"/>
    </xf>
    <xf numFmtId="37" fontId="1" fillId="0" borderId="0" xfId="0" applyNumberFormat="1" applyFont="1" applyAlignment="1" applyProtection="1">
      <alignment horizontal="center"/>
      <protection locked="0"/>
    </xf>
    <xf numFmtId="37" fontId="1" fillId="0" borderId="0" xfId="0" applyNumberFormat="1" applyFont="1" applyProtection="1">
      <protection locked="0"/>
    </xf>
    <xf numFmtId="37" fontId="1" fillId="0" borderId="0" xfId="0" applyNumberFormat="1" applyFont="1" applyAlignment="1" applyProtection="1">
      <alignment horizontal="left"/>
      <protection locked="0"/>
    </xf>
    <xf numFmtId="0" fontId="3" fillId="0" borderId="15" xfId="0" applyFont="1" applyBorder="1" applyAlignment="1" applyProtection="1">
      <alignment horizontal="left"/>
      <protection locked="0"/>
    </xf>
    <xf numFmtId="0" fontId="3" fillId="0" borderId="16" xfId="0" applyFont="1" applyBorder="1" applyAlignment="1" applyProtection="1">
      <alignment horizontal="left" vertical="top" wrapText="1"/>
      <protection locked="0"/>
    </xf>
    <xf numFmtId="0" fontId="0" fillId="0" borderId="18" xfId="0" applyBorder="1" applyProtection="1">
      <protection locked="0"/>
    </xf>
    <xf numFmtId="0" fontId="0" fillId="0" borderId="19" xfId="0" applyBorder="1" applyProtection="1">
      <protection locked="0"/>
    </xf>
    <xf numFmtId="168" fontId="3" fillId="0" borderId="7" xfId="0" applyNumberFormat="1" applyFont="1" applyBorder="1" applyProtection="1">
      <protection locked="0"/>
    </xf>
    <xf numFmtId="0" fontId="0" fillId="0" borderId="17" xfId="0" applyBorder="1" applyProtection="1">
      <protection locked="0"/>
    </xf>
    <xf numFmtId="0" fontId="0" fillId="0" borderId="8" xfId="0" applyBorder="1" applyProtection="1">
      <protection locked="0"/>
    </xf>
    <xf numFmtId="0" fontId="0" fillId="0" borderId="20" xfId="0" applyBorder="1" applyProtection="1">
      <protection locked="0"/>
    </xf>
    <xf numFmtId="5" fontId="8" fillId="6" borderId="7" xfId="0" applyNumberFormat="1" applyFont="1" applyFill="1" applyBorder="1" applyProtection="1">
      <protection locked="0"/>
    </xf>
    <xf numFmtId="0" fontId="3" fillId="0" borderId="18" xfId="0" applyFont="1" applyBorder="1" applyProtection="1">
      <protection locked="0"/>
    </xf>
    <xf numFmtId="168" fontId="3" fillId="0" borderId="7" xfId="0" quotePrefix="1" applyNumberFormat="1" applyFont="1" applyBorder="1" applyProtection="1">
      <protection locked="0"/>
    </xf>
    <xf numFmtId="0" fontId="3" fillId="0" borderId="8" xfId="0" applyFont="1" applyBorder="1" applyProtection="1">
      <protection locked="0"/>
    </xf>
    <xf numFmtId="0" fontId="13" fillId="0" borderId="0" xfId="0" applyFont="1" applyAlignment="1" applyProtection="1">
      <alignment horizontal="right"/>
      <protection locked="0"/>
    </xf>
    <xf numFmtId="5" fontId="3" fillId="6" borderId="7" xfId="0" applyNumberFormat="1" applyFont="1" applyFill="1" applyBorder="1" applyProtection="1">
      <protection locked="0"/>
    </xf>
    <xf numFmtId="168" fontId="14" fillId="0" borderId="21" xfId="0" applyNumberFormat="1" applyFont="1" applyBorder="1"/>
    <xf numFmtId="37" fontId="14" fillId="10" borderId="21" xfId="0" applyNumberFormat="1" applyFont="1" applyFill="1" applyBorder="1"/>
    <xf numFmtId="169" fontId="1" fillId="0" borderId="0" xfId="0" applyNumberFormat="1" applyFont="1" applyProtection="1">
      <protection locked="0"/>
    </xf>
    <xf numFmtId="37" fontId="7" fillId="0" borderId="0" xfId="0" applyNumberFormat="1" applyFont="1" applyAlignment="1" applyProtection="1">
      <alignment horizontal="left"/>
      <protection locked="0"/>
    </xf>
    <xf numFmtId="37" fontId="3" fillId="0" borderId="15" xfId="0" applyNumberFormat="1" applyFont="1" applyBorder="1" applyAlignment="1" applyProtection="1">
      <alignment horizontal="left"/>
      <protection locked="0"/>
    </xf>
    <xf numFmtId="0" fontId="3" fillId="0" borderId="11" xfId="0" applyFont="1" applyBorder="1" applyProtection="1">
      <protection locked="0"/>
    </xf>
    <xf numFmtId="0" fontId="3" fillId="2" borderId="11" xfId="0" applyFont="1" applyFill="1" applyBorder="1" applyProtection="1">
      <protection locked="0"/>
    </xf>
    <xf numFmtId="0" fontId="1" fillId="0" borderId="11" xfId="0" applyFont="1" applyBorder="1" applyProtection="1">
      <protection locked="0"/>
    </xf>
    <xf numFmtId="0" fontId="0" fillId="0" borderId="0" xfId="0" applyAlignment="1">
      <alignment horizontal="left" vertical="top" wrapText="1"/>
    </xf>
    <xf numFmtId="0" fontId="1" fillId="0" borderId="0" xfId="0" applyFont="1" applyProtection="1">
      <protection locked="0"/>
    </xf>
    <xf numFmtId="0" fontId="3" fillId="0" borderId="0" xfId="0" applyFont="1" applyProtection="1">
      <protection locked="0"/>
    </xf>
    <xf numFmtId="0" fontId="0" fillId="0" borderId="0" xfId="0" applyAlignment="1">
      <alignment horizontal="left" vertical="top" wrapText="1"/>
    </xf>
    <xf numFmtId="169" fontId="10" fillId="0" borderId="0" xfId="0" applyNumberFormat="1" applyFont="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center" wrapText="1"/>
    </xf>
    <xf numFmtId="0" fontId="0" fillId="0" borderId="7" xfId="0" applyBorder="1"/>
    <xf numFmtId="14" fontId="0" fillId="0" borderId="7" xfId="0" applyNumberFormat="1" applyBorder="1"/>
    <xf numFmtId="0" fontId="0" fillId="0" borderId="7" xfId="0" applyBorder="1" applyAlignment="1">
      <alignment horizontal="center"/>
    </xf>
    <xf numFmtId="169" fontId="3" fillId="0" borderId="7" xfId="0" applyNumberFormat="1" applyFont="1" applyBorder="1" applyAlignment="1">
      <alignment horizontal="center"/>
    </xf>
    <xf numFmtId="169" fontId="0" fillId="0" borderId="7" xfId="0" applyNumberFormat="1" applyBorder="1" applyAlignment="1">
      <alignment horizontal="center"/>
    </xf>
    <xf numFmtId="169" fontId="15" fillId="0" borderId="7" xfId="0" applyNumberFormat="1" applyFont="1" applyBorder="1" applyAlignment="1">
      <alignment horizontal="center"/>
    </xf>
    <xf numFmtId="14" fontId="0" fillId="11" borderId="7" xfId="0" applyNumberFormat="1" applyFill="1" applyBorder="1"/>
    <xf numFmtId="4" fontId="15" fillId="0" borderId="7" xfId="0" applyNumberFormat="1" applyFont="1" applyBorder="1" applyAlignment="1">
      <alignment horizontal="center"/>
    </xf>
    <xf numFmtId="0" fontId="0" fillId="12" borderId="0" xfId="0" applyFill="1"/>
  </cellXfs>
  <cellStyles count="1">
    <cellStyle name="Normal" xfId="0" builtinId="0"/>
  </cellStyles>
  <dxfs count="2">
    <dxf>
      <border>
        <left/>
        <right/>
        <top/>
        <bottom/>
        <vertical/>
        <horizontal/>
      </border>
    </dxf>
    <dxf>
      <border>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forman\Downloads\Bluffs%20-%202026%20Budget%20Summary.xlsx" TargetMode="External"/><Relationship Id="rId1" Type="http://schemas.openxmlformats.org/officeDocument/2006/relationships/externalLinkPath" Target="file:///C:\Users\eforman\Downloads\Bluffs%20-%202026%20Budget%20Summary.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deleon_lincolnavecap_com/Documents/Documents/Budgets/2026/FPI/Master%20LTL%20template.xlsx" TargetMode="External"/><Relationship Id="rId2" Type="http://schemas.openxmlformats.org/officeDocument/2006/relationships/externalLinkPath" Target="https://lincolnavenuecapital-my.sharepoint.com/personal/bdeleon_lincolnavecap_com/Documents/Documents/Budgets/2026/FPI/Master%20LTL%20template.xlsx" TargetMode="External"/><Relationship Id="rId1" Type="http://schemas.openxmlformats.org/officeDocument/2006/relationships/externalLinkPath" Target="/personal/bdeleon_lincolnavecap_com/Documents/Documents/Budgets/2026/FPI/Master%20LTL%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Budget Detail (Sch Z)"/>
      <sheetName val="RR Recalc"/>
      <sheetName val="Market Rent Recalc"/>
      <sheetName val="T6"/>
      <sheetName val="FSLI Mapping"/>
      <sheetName val="Budget Properties"/>
      <sheetName val="Units"/>
      <sheetName val="2025 Budget"/>
      <sheetName val="June 2025 Actuals (YTD)"/>
      <sheetName val="Model"/>
      <sheetName val="Pro Forma"/>
      <sheetName val="Deals with no data"/>
      <sheetName val="Instructions"/>
      <sheetName val="Property Profile (Variables)"/>
      <sheetName val="Yardi Import BudPrepRpt"/>
      <sheetName val="Rental Revenue"/>
      <sheetName val="Payroll"/>
      <sheetName val="Budget Worksheet (Sch A)"/>
      <sheetName val="Reforecast Worksheet"/>
      <sheetName val="Amenity Pricing"/>
      <sheetName val="Gatekeeper Checklist"/>
      <sheetName val="Revision Notes"/>
      <sheetName val="CD Budget Detail"/>
      <sheetName val="Maintenance Budget Detail"/>
      <sheetName val="Budget Cover Page"/>
      <sheetName val="Budget Summary"/>
      <sheetName val="Budget Comparison Detail"/>
      <sheetName val="Rent Matrix - Unit Mix"/>
      <sheetName val="Print Footnotes"/>
      <sheetName val="Annual Costs per Unit (Sch F)"/>
      <sheetName val="Budget Comparison Summary"/>
      <sheetName val="Comparison to Underwriting"/>
      <sheetName val="Yardi Chart of Accounts"/>
      <sheetName val="Accounting Only Worksheet"/>
      <sheetName val="Accounting Only Yardi Upload"/>
      <sheetName val="CS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V1" t="str">
            <v>01</v>
          </cell>
          <cell r="W1" t="str">
            <v>January</v>
          </cell>
          <cell r="X1" t="str">
            <v>31</v>
          </cell>
          <cell r="Y1" t="str">
            <v>1</v>
          </cell>
          <cell r="Z1" t="str">
            <v>one</v>
          </cell>
        </row>
        <row r="2">
          <cell r="V2" t="str">
            <v>02</v>
          </cell>
          <cell r="W2" t="str">
            <v>February</v>
          </cell>
          <cell r="X2" t="str">
            <v>28</v>
          </cell>
          <cell r="Y2" t="str">
            <v>2</v>
          </cell>
          <cell r="Z2" t="str">
            <v>two</v>
          </cell>
          <cell r="AA2" t="str">
            <v xml:space="preserve">      January 1, 2026 through December 31, 2026</v>
          </cell>
        </row>
        <row r="3">
          <cell r="V3" t="str">
            <v>03</v>
          </cell>
          <cell r="W3" t="str">
            <v>March</v>
          </cell>
          <cell r="X3" t="str">
            <v>31</v>
          </cell>
          <cell r="Y3" t="str">
            <v>3</v>
          </cell>
          <cell r="Z3" t="str">
            <v>three</v>
          </cell>
        </row>
        <row r="4">
          <cell r="V4" t="str">
            <v>04</v>
          </cell>
          <cell r="W4" t="str">
            <v>April</v>
          </cell>
          <cell r="X4" t="str">
            <v>30</v>
          </cell>
          <cell r="Y4" t="str">
            <v>4</v>
          </cell>
          <cell r="Z4" t="str">
            <v>four</v>
          </cell>
        </row>
        <row r="5">
          <cell r="F5" t="str">
            <v>The Bluffs</v>
          </cell>
          <cell r="V5" t="str">
            <v>05</v>
          </cell>
          <cell r="W5" t="str">
            <v>May</v>
          </cell>
          <cell r="X5" t="str">
            <v>31</v>
          </cell>
          <cell r="Y5" t="str">
            <v>5</v>
          </cell>
          <cell r="Z5" t="str">
            <v>five</v>
          </cell>
        </row>
        <row r="6">
          <cell r="F6" t="str">
            <v>WA</v>
          </cell>
          <cell r="V6" t="str">
            <v>06</v>
          </cell>
          <cell r="W6" t="str">
            <v>June</v>
          </cell>
          <cell r="X6" t="str">
            <v>30</v>
          </cell>
          <cell r="Y6" t="str">
            <v>6</v>
          </cell>
          <cell r="Z6" t="str">
            <v>six</v>
          </cell>
        </row>
        <row r="7">
          <cell r="V7" t="str">
            <v>07</v>
          </cell>
          <cell r="W7" t="str">
            <v>July</v>
          </cell>
          <cell r="X7" t="str">
            <v>31</v>
          </cell>
          <cell r="Y7" t="str">
            <v>7</v>
          </cell>
          <cell r="Z7" t="str">
            <v>seven</v>
          </cell>
        </row>
        <row r="8">
          <cell r="V8" t="str">
            <v>08</v>
          </cell>
          <cell r="W8" t="str">
            <v>August</v>
          </cell>
          <cell r="X8" t="str">
            <v>31</v>
          </cell>
          <cell r="Y8" t="str">
            <v>8</v>
          </cell>
          <cell r="Z8" t="str">
            <v>eight</v>
          </cell>
        </row>
        <row r="9">
          <cell r="V9" t="str">
            <v>09</v>
          </cell>
          <cell r="W9" t="str">
            <v>September</v>
          </cell>
          <cell r="X9" t="str">
            <v>30</v>
          </cell>
          <cell r="Y9" t="str">
            <v>9</v>
          </cell>
          <cell r="Z9" t="str">
            <v>nine</v>
          </cell>
        </row>
        <row r="10">
          <cell r="V10" t="str">
            <v>10</v>
          </cell>
          <cell r="W10" t="str">
            <v>October</v>
          </cell>
          <cell r="X10" t="str">
            <v>31</v>
          </cell>
          <cell r="Y10" t="str">
            <v>10</v>
          </cell>
          <cell r="Z10" t="str">
            <v>ten</v>
          </cell>
        </row>
        <row r="11">
          <cell r="V11" t="str">
            <v>11</v>
          </cell>
          <cell r="W11" t="str">
            <v>November</v>
          </cell>
          <cell r="X11" t="str">
            <v>30</v>
          </cell>
          <cell r="Y11" t="str">
            <v>11</v>
          </cell>
          <cell r="Z11" t="str">
            <v>eleven</v>
          </cell>
        </row>
        <row r="12">
          <cell r="V12" t="str">
            <v>12</v>
          </cell>
          <cell r="W12" t="str">
            <v>December</v>
          </cell>
          <cell r="X12" t="str">
            <v>31</v>
          </cell>
          <cell r="Y12" t="str">
            <v>12</v>
          </cell>
          <cell r="Z12" t="str">
            <v>twelve</v>
          </cell>
        </row>
        <row r="13">
          <cell r="V13">
            <v>1</v>
          </cell>
          <cell r="W13" t="str">
            <v>January</v>
          </cell>
          <cell r="X13" t="str">
            <v>31</v>
          </cell>
          <cell r="Y13" t="str">
            <v>1</v>
          </cell>
          <cell r="Z13" t="str">
            <v>one</v>
          </cell>
        </row>
        <row r="14">
          <cell r="V14">
            <v>2</v>
          </cell>
          <cell r="W14" t="str">
            <v>February</v>
          </cell>
          <cell r="X14" t="str">
            <v>28</v>
          </cell>
          <cell r="Y14" t="str">
            <v>2</v>
          </cell>
          <cell r="Z14" t="str">
            <v>two</v>
          </cell>
        </row>
        <row r="15">
          <cell r="V15">
            <v>3</v>
          </cell>
          <cell r="W15" t="str">
            <v>March</v>
          </cell>
          <cell r="X15" t="str">
            <v>31</v>
          </cell>
          <cell r="Y15" t="str">
            <v>3</v>
          </cell>
          <cell r="Z15" t="str">
            <v>three</v>
          </cell>
        </row>
        <row r="16">
          <cell r="V16">
            <v>4</v>
          </cell>
          <cell r="W16" t="str">
            <v>April</v>
          </cell>
          <cell r="X16" t="str">
            <v>30</v>
          </cell>
          <cell r="Y16" t="str">
            <v>4</v>
          </cell>
          <cell r="Z16" t="str">
            <v>four</v>
          </cell>
        </row>
        <row r="17">
          <cell r="V17">
            <v>5</v>
          </cell>
          <cell r="W17" t="str">
            <v>May</v>
          </cell>
          <cell r="X17" t="str">
            <v>31</v>
          </cell>
          <cell r="Y17" t="str">
            <v>5</v>
          </cell>
          <cell r="Z17" t="str">
            <v>five</v>
          </cell>
        </row>
        <row r="18">
          <cell r="V18">
            <v>6</v>
          </cell>
          <cell r="W18" t="str">
            <v>June</v>
          </cell>
          <cell r="X18" t="str">
            <v>30</v>
          </cell>
          <cell r="Y18" t="str">
            <v>6</v>
          </cell>
          <cell r="Z18" t="str">
            <v>six</v>
          </cell>
        </row>
        <row r="19">
          <cell r="V19">
            <v>7</v>
          </cell>
          <cell r="W19" t="str">
            <v>July</v>
          </cell>
          <cell r="X19" t="str">
            <v>31</v>
          </cell>
          <cell r="Y19" t="str">
            <v>7</v>
          </cell>
          <cell r="Z19" t="str">
            <v>seven</v>
          </cell>
        </row>
        <row r="20">
          <cell r="V20">
            <v>8</v>
          </cell>
          <cell r="W20" t="str">
            <v>August</v>
          </cell>
          <cell r="X20" t="str">
            <v>31</v>
          </cell>
          <cell r="Y20" t="str">
            <v>8</v>
          </cell>
          <cell r="Z20" t="str">
            <v>eight</v>
          </cell>
        </row>
        <row r="21">
          <cell r="V21">
            <v>9</v>
          </cell>
          <cell r="W21" t="str">
            <v>September</v>
          </cell>
          <cell r="X21" t="str">
            <v>30</v>
          </cell>
          <cell r="Y21" t="str">
            <v>9</v>
          </cell>
          <cell r="Z21" t="str">
            <v>nine</v>
          </cell>
        </row>
        <row r="23">
          <cell r="B23" t="str">
            <v>Jan</v>
          </cell>
          <cell r="C23" t="str">
            <v>Feb</v>
          </cell>
          <cell r="D23" t="str">
            <v>Mar</v>
          </cell>
          <cell r="E23" t="str">
            <v>Apr</v>
          </cell>
          <cell r="F23" t="str">
            <v>May</v>
          </cell>
          <cell r="G23" t="str">
            <v>Jun</v>
          </cell>
          <cell r="H23" t="str">
            <v>Jul</v>
          </cell>
          <cell r="I23" t="str">
            <v>Aug</v>
          </cell>
          <cell r="J23" t="str">
            <v>Sep</v>
          </cell>
          <cell r="K23" t="str">
            <v>Oct</v>
          </cell>
          <cell r="L23" t="str">
            <v>Nov</v>
          </cell>
          <cell r="M23" t="str">
            <v>Dec</v>
          </cell>
        </row>
        <row r="26">
          <cell r="G26" t="str">
            <v>N</v>
          </cell>
        </row>
        <row r="96">
          <cell r="G96">
            <v>75</v>
          </cell>
        </row>
        <row r="98">
          <cell r="G98">
            <v>50</v>
          </cell>
        </row>
        <row r="136">
          <cell r="D136">
            <v>450</v>
          </cell>
          <cell r="E136">
            <v>450</v>
          </cell>
          <cell r="F136">
            <v>950</v>
          </cell>
          <cell r="G136">
            <v>1225</v>
          </cell>
          <cell r="H136">
            <v>1125</v>
          </cell>
          <cell r="I136">
            <v>1125</v>
          </cell>
          <cell r="J136">
            <v>1125</v>
          </cell>
          <cell r="K136">
            <v>1400</v>
          </cell>
          <cell r="L136">
            <v>1125</v>
          </cell>
          <cell r="M136">
            <v>1125</v>
          </cell>
          <cell r="N136">
            <v>1125</v>
          </cell>
          <cell r="O136">
            <v>6850</v>
          </cell>
        </row>
      </sheetData>
      <sheetData sheetId="15"/>
      <sheetData sheetId="16">
        <row r="68">
          <cell r="C68">
            <v>217</v>
          </cell>
        </row>
        <row r="77">
          <cell r="H77">
            <v>0</v>
          </cell>
          <cell r="I77">
            <v>0</v>
          </cell>
          <cell r="J77">
            <v>0</v>
          </cell>
          <cell r="K77">
            <v>0</v>
          </cell>
          <cell r="L77">
            <v>0</v>
          </cell>
          <cell r="M77">
            <v>0</v>
          </cell>
          <cell r="N77">
            <v>0</v>
          </cell>
          <cell r="O77">
            <v>0</v>
          </cell>
          <cell r="P77">
            <v>0</v>
          </cell>
          <cell r="Q77">
            <v>0</v>
          </cell>
          <cell r="R77">
            <v>0</v>
          </cell>
          <cell r="S77">
            <v>0</v>
          </cell>
        </row>
      </sheetData>
      <sheetData sheetId="17"/>
      <sheetData sheetId="18">
        <row r="6">
          <cell r="AK6">
            <v>208.32</v>
          </cell>
          <cell r="AL6">
            <v>208.32</v>
          </cell>
          <cell r="AM6">
            <v>208.32</v>
          </cell>
          <cell r="AN6">
            <v>208.32</v>
          </cell>
          <cell r="AO6">
            <v>208.32</v>
          </cell>
          <cell r="AP6">
            <v>208.32</v>
          </cell>
          <cell r="AQ6">
            <v>208.32</v>
          </cell>
          <cell r="AR6">
            <v>208.32</v>
          </cell>
          <cell r="AS6">
            <v>208.32</v>
          </cell>
          <cell r="AT6">
            <v>208.32</v>
          </cell>
          <cell r="AU6">
            <v>208.32</v>
          </cell>
          <cell r="AV6">
            <v>208.32</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luffs"/>
      <sheetName val="Sheet2"/>
      <sheetName val="Surfside"/>
      <sheetName val="SH"/>
      <sheetName val="PV"/>
      <sheetName val="Summarize By - Unit"/>
      <sheetName val="Summarize By - Unit (2)"/>
      <sheetName val="Sheet4"/>
      <sheetName val="Hidden_Calculation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E6D8-511B-4F1B-81DF-354FEFC419F4}">
  <sheetPr filterMode="1">
    <tabColor rgb="FF44B0E4"/>
  </sheetPr>
  <dimension ref="A1:DU352"/>
  <sheetViews>
    <sheetView tabSelected="1" topLeftCell="A2" zoomScaleNormal="100" workbookViewId="0">
      <pane xSplit="3" ySplit="12" topLeftCell="D46" activePane="bottomRight" state="frozen"/>
      <selection pane="topRight" activeCell="P5" sqref="P5:P6"/>
      <selection pane="bottomLeft" activeCell="P5" sqref="P5:P6"/>
      <selection pane="bottomRight" activeCell="I6" sqref="A1:XFD1048576"/>
    </sheetView>
  </sheetViews>
  <sheetFormatPr defaultColWidth="9.26953125" defaultRowHeight="12.5"/>
  <cols>
    <col min="1" max="1" width="4.453125" style="1" customWidth="1"/>
    <col min="2" max="2" width="8.453125" style="6" customWidth="1"/>
    <col min="3" max="4" width="17.7265625" style="3" customWidth="1"/>
    <col min="5" max="5" width="7.7265625" style="3" customWidth="1"/>
    <col min="6" max="6" width="8.26953125" style="3" customWidth="1"/>
    <col min="7" max="7" width="6.54296875" style="3" customWidth="1"/>
    <col min="8" max="8" width="8.7265625" style="3" customWidth="1"/>
    <col min="9" max="9" width="8.26953125" style="3" customWidth="1"/>
    <col min="10" max="10" width="9" style="3" customWidth="1"/>
    <col min="11" max="11" width="8.26953125" style="3" customWidth="1"/>
    <col min="12" max="12" width="9.26953125" style="3" customWidth="1"/>
    <col min="13" max="13" width="8.7265625" style="3" customWidth="1"/>
    <col min="14" max="14" width="7.7265625" style="3" customWidth="1"/>
    <col min="15" max="15" width="8.26953125" style="3" customWidth="1"/>
    <col min="16" max="16" width="3.7265625" style="4" hidden="1" customWidth="1"/>
    <col min="17" max="17" width="8" style="6" customWidth="1"/>
    <col min="18" max="18" width="8.54296875" style="6" customWidth="1"/>
    <col min="19" max="30" width="6.7265625" style="6" customWidth="1"/>
    <col min="31" max="32" width="9.26953125" style="6" customWidth="1"/>
    <col min="33" max="33" width="9.7265625" style="6" bestFit="1" customWidth="1"/>
    <col min="34" max="41" width="9.26953125" style="6" customWidth="1"/>
    <col min="42" max="45" width="9.26953125" style="21" customWidth="1"/>
    <col min="46" max="48" width="9.26953125" style="6" customWidth="1"/>
    <col min="49" max="49" width="11.54296875" style="6" customWidth="1"/>
    <col min="50" max="50" width="26.7265625" style="6" bestFit="1" customWidth="1"/>
    <col min="51" max="51" width="11.26953125" style="6" bestFit="1" customWidth="1"/>
    <col min="52" max="73" width="9.26953125" style="6" customWidth="1"/>
    <col min="74" max="74" width="10" style="6" customWidth="1"/>
    <col min="75" max="75" width="10.26953125" style="6" customWidth="1"/>
    <col min="76" max="76" width="10" style="6" customWidth="1"/>
    <col min="77" max="77" width="10.26953125" style="6" customWidth="1"/>
    <col min="78" max="78" width="10.453125" style="6" customWidth="1"/>
    <col min="79" max="79" width="10.26953125" style="6" customWidth="1"/>
    <col min="80" max="80" width="11" style="6" customWidth="1"/>
    <col min="81" max="81" width="10" style="6" customWidth="1"/>
    <col min="82" max="96" width="9.26953125" style="6" customWidth="1"/>
    <col min="97" max="97" width="10.26953125" style="6" bestFit="1" customWidth="1"/>
    <col min="98" max="116" width="9.26953125" style="6" customWidth="1"/>
    <col min="117" max="124" width="10.26953125" style="6" bestFit="1" customWidth="1"/>
    <col min="125" max="125" width="9.26953125" style="6" customWidth="1"/>
    <col min="126" max="16384" width="9.26953125" style="6"/>
  </cols>
  <sheetData>
    <row r="1" spans="1:125" s="2" customFormat="1" ht="12" hidden="1" customHeight="1">
      <c r="A1" s="1"/>
      <c r="C1" s="3"/>
      <c r="D1" s="3"/>
      <c r="E1" s="3"/>
      <c r="F1" s="3"/>
      <c r="G1" s="3"/>
      <c r="H1" s="3"/>
      <c r="I1" s="3"/>
      <c r="J1" s="3"/>
      <c r="K1" s="3"/>
      <c r="L1" s="3"/>
      <c r="M1" s="3"/>
      <c r="N1" s="3"/>
      <c r="O1" s="3"/>
      <c r="P1" s="4"/>
      <c r="R1" s="5">
        <v>-1</v>
      </c>
      <c r="S1" s="5">
        <v>1</v>
      </c>
      <c r="T1" s="5">
        <v>2</v>
      </c>
      <c r="U1" s="5">
        <v>3</v>
      </c>
      <c r="V1" s="5">
        <v>4</v>
      </c>
      <c r="W1" s="5">
        <v>5</v>
      </c>
      <c r="X1" s="5">
        <v>6</v>
      </c>
      <c r="Y1" s="5">
        <v>7</v>
      </c>
      <c r="Z1" s="5">
        <v>8</v>
      </c>
      <c r="AA1" s="5">
        <v>9</v>
      </c>
      <c r="AB1" s="5">
        <v>10</v>
      </c>
      <c r="AC1" s="5">
        <v>11</v>
      </c>
      <c r="AD1" s="5">
        <v>12</v>
      </c>
      <c r="AW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row>
    <row r="2" spans="1:125" ht="13.9" customHeight="1" thickBot="1">
      <c r="D2" s="7"/>
      <c r="E2" s="7"/>
      <c r="F2" s="7"/>
      <c r="G2" s="7"/>
      <c r="H2" s="7"/>
      <c r="I2" s="7"/>
      <c r="J2" s="7"/>
      <c r="K2" s="7"/>
      <c r="L2" s="7"/>
      <c r="M2" s="7"/>
      <c r="N2" s="7"/>
      <c r="O2" s="7"/>
      <c r="P2" s="8"/>
      <c r="Q2" s="7"/>
      <c r="AE2" s="7"/>
      <c r="AP2" s="6"/>
      <c r="AQ2" s="6"/>
      <c r="AR2" s="6"/>
      <c r="AS2" s="6"/>
      <c r="AX2" s="6">
        <f>COUNTA(AZ3:BZ3)</f>
        <v>27</v>
      </c>
      <c r="AY2" s="6" t="s">
        <v>0</v>
      </c>
      <c r="CR2" s="9" t="s">
        <v>1</v>
      </c>
      <c r="CS2" s="6">
        <v>1</v>
      </c>
      <c r="CT2" s="6">
        <v>2</v>
      </c>
      <c r="CU2" s="6">
        <v>3</v>
      </c>
      <c r="CV2" s="6">
        <v>4</v>
      </c>
      <c r="CW2" s="6">
        <v>5</v>
      </c>
      <c r="CX2" s="6">
        <v>6</v>
      </c>
      <c r="CY2" s="6">
        <v>7</v>
      </c>
      <c r="CZ2" s="6">
        <v>8</v>
      </c>
      <c r="DA2" s="6">
        <v>9</v>
      </c>
      <c r="DB2" s="6">
        <v>10</v>
      </c>
      <c r="DC2" s="6">
        <v>11</v>
      </c>
      <c r="DD2" s="6">
        <v>12</v>
      </c>
      <c r="DE2" s="6">
        <v>13</v>
      </c>
      <c r="DF2" s="6">
        <v>14</v>
      </c>
      <c r="DG2" s="6">
        <v>15</v>
      </c>
      <c r="DH2" s="6">
        <v>16</v>
      </c>
      <c r="DI2" s="6">
        <v>17</v>
      </c>
      <c r="DJ2" s="6">
        <v>18</v>
      </c>
      <c r="DK2" s="6">
        <v>19</v>
      </c>
      <c r="DL2" s="6">
        <v>20</v>
      </c>
      <c r="DM2" s="6">
        <v>21</v>
      </c>
      <c r="DN2" s="6">
        <v>22</v>
      </c>
      <c r="DO2" s="6">
        <v>23</v>
      </c>
      <c r="DP2" s="6">
        <v>24</v>
      </c>
      <c r="DQ2" s="6">
        <v>25</v>
      </c>
      <c r="DR2" s="6">
        <v>26</v>
      </c>
      <c r="DS2" s="6">
        <v>27</v>
      </c>
      <c r="DT2" s="6">
        <v>28</v>
      </c>
    </row>
    <row r="3" spans="1:125" ht="13">
      <c r="B3" s="10" t="s">
        <v>2</v>
      </c>
      <c r="C3" s="6"/>
      <c r="D3" s="11"/>
      <c r="E3" s="11"/>
      <c r="F3" s="11"/>
      <c r="H3" s="7"/>
      <c r="I3" s="7"/>
      <c r="J3" s="12"/>
      <c r="K3" s="13"/>
      <c r="L3" s="14" t="str">
        <f>'[1]Property Profile (Variables)'!F5</f>
        <v>The Bluffs</v>
      </c>
      <c r="M3" s="13"/>
      <c r="N3" s="13"/>
      <c r="O3" s="15"/>
      <c r="P3" s="8"/>
      <c r="Q3" s="7"/>
      <c r="AE3" s="11"/>
      <c r="AP3" s="6"/>
      <c r="AQ3" s="6"/>
      <c r="AR3" s="6"/>
      <c r="AS3" s="6"/>
      <c r="AX3" s="16">
        <v>45866</v>
      </c>
      <c r="AY3" s="17" t="s">
        <v>3</v>
      </c>
      <c r="AZ3" s="18" t="s">
        <v>4</v>
      </c>
      <c r="BA3" s="18" t="s">
        <v>5</v>
      </c>
      <c r="BB3" s="18" t="s">
        <v>6</v>
      </c>
      <c r="BC3" s="18" t="s">
        <v>7</v>
      </c>
      <c r="BD3" s="18" t="s">
        <v>8</v>
      </c>
      <c r="BE3" s="18" t="s">
        <v>9</v>
      </c>
      <c r="BF3" s="18" t="s">
        <v>10</v>
      </c>
      <c r="BG3" s="18" t="s">
        <v>11</v>
      </c>
      <c r="BH3" s="18" t="s">
        <v>12</v>
      </c>
      <c r="BI3" s="18" t="s">
        <v>13</v>
      </c>
      <c r="BJ3" s="18" t="s">
        <v>14</v>
      </c>
      <c r="BK3" s="18" t="s">
        <v>15</v>
      </c>
      <c r="BL3" s="18" t="s">
        <v>16</v>
      </c>
      <c r="BM3" s="18" t="s">
        <v>17</v>
      </c>
      <c r="BN3" s="18" t="s">
        <v>18</v>
      </c>
      <c r="BO3" s="18" t="s">
        <v>19</v>
      </c>
      <c r="BP3" s="18" t="s">
        <v>20</v>
      </c>
      <c r="BQ3" s="18" t="s">
        <v>21</v>
      </c>
      <c r="BR3" s="18" t="s">
        <v>22</v>
      </c>
      <c r="BS3" s="18" t="s">
        <v>23</v>
      </c>
      <c r="BT3" s="18" t="s">
        <v>24</v>
      </c>
      <c r="BU3" s="18" t="s">
        <v>25</v>
      </c>
      <c r="BV3" s="18" t="s">
        <v>26</v>
      </c>
      <c r="BW3" s="18" t="s">
        <v>27</v>
      </c>
      <c r="BX3" s="18" t="s">
        <v>28</v>
      </c>
      <c r="BY3" s="18" t="s">
        <v>29</v>
      </c>
      <c r="BZ3" s="18" t="s">
        <v>30</v>
      </c>
      <c r="CA3" s="19" t="s">
        <v>31</v>
      </c>
      <c r="CB3" s="20"/>
      <c r="CC3" s="19" t="s">
        <v>32</v>
      </c>
      <c r="CH3" s="21" t="s">
        <v>33</v>
      </c>
      <c r="CI3" s="21"/>
      <c r="CJ3" s="21"/>
      <c r="CK3" s="21" t="s">
        <v>34</v>
      </c>
      <c r="CR3" s="9" t="s">
        <v>35</v>
      </c>
      <c r="CS3" s="22">
        <v>-1</v>
      </c>
      <c r="CT3" s="22">
        <f t="shared" ref="CT3:DT3" si="0">MONTH(CT4)</f>
        <v>1</v>
      </c>
      <c r="CU3" s="22">
        <f t="shared" si="0"/>
        <v>1</v>
      </c>
      <c r="CV3" s="22">
        <f t="shared" si="0"/>
        <v>2</v>
      </c>
      <c r="CW3" s="22">
        <f t="shared" si="0"/>
        <v>2</v>
      </c>
      <c r="CX3" s="22">
        <f t="shared" si="0"/>
        <v>3</v>
      </c>
      <c r="CY3" s="22">
        <f t="shared" si="0"/>
        <v>3</v>
      </c>
      <c r="CZ3" s="22">
        <f t="shared" si="0"/>
        <v>3</v>
      </c>
      <c r="DA3" s="22">
        <f t="shared" si="0"/>
        <v>4</v>
      </c>
      <c r="DB3" s="22">
        <f t="shared" si="0"/>
        <v>4</v>
      </c>
      <c r="DC3" s="22">
        <f t="shared" si="0"/>
        <v>5</v>
      </c>
      <c r="DD3" s="22">
        <f t="shared" si="0"/>
        <v>5</v>
      </c>
      <c r="DE3" s="22">
        <f t="shared" si="0"/>
        <v>6</v>
      </c>
      <c r="DF3" s="22">
        <f t="shared" si="0"/>
        <v>6</v>
      </c>
      <c r="DG3" s="22">
        <f t="shared" si="0"/>
        <v>7</v>
      </c>
      <c r="DH3" s="22">
        <f t="shared" si="0"/>
        <v>7</v>
      </c>
      <c r="DI3" s="22">
        <f t="shared" si="0"/>
        <v>8</v>
      </c>
      <c r="DJ3" s="22">
        <f t="shared" si="0"/>
        <v>8</v>
      </c>
      <c r="DK3" s="22">
        <f t="shared" si="0"/>
        <v>8</v>
      </c>
      <c r="DL3" s="22">
        <f t="shared" si="0"/>
        <v>9</v>
      </c>
      <c r="DM3" s="22">
        <f t="shared" si="0"/>
        <v>9</v>
      </c>
      <c r="DN3" s="22">
        <f t="shared" si="0"/>
        <v>10</v>
      </c>
      <c r="DO3" s="22">
        <f t="shared" si="0"/>
        <v>10</v>
      </c>
      <c r="DP3" s="22">
        <f t="shared" si="0"/>
        <v>11</v>
      </c>
      <c r="DQ3" s="22">
        <f t="shared" si="0"/>
        <v>11</v>
      </c>
      <c r="DR3" s="22">
        <f t="shared" si="0"/>
        <v>12</v>
      </c>
      <c r="DS3" s="22">
        <f t="shared" si="0"/>
        <v>12</v>
      </c>
      <c r="DT3" s="22">
        <f t="shared" si="0"/>
        <v>1</v>
      </c>
    </row>
    <row r="4" spans="1:125" ht="33" customHeight="1" thickBot="1">
      <c r="A4" s="23"/>
      <c r="D4" s="11"/>
      <c r="E4" s="11"/>
      <c r="F4" s="24" t="s">
        <v>36</v>
      </c>
      <c r="G4" s="25" t="s">
        <v>37</v>
      </c>
      <c r="H4" s="25"/>
      <c r="I4" s="25"/>
      <c r="J4" s="26"/>
      <c r="K4" s="27"/>
      <c r="L4" s="28" t="str">
        <f>'[1]Property Profile (Variables)'!AA2</f>
        <v xml:space="preserve">      January 1, 2026 through December 31, 2026</v>
      </c>
      <c r="M4" s="29"/>
      <c r="N4" s="30"/>
      <c r="O4" s="31"/>
      <c r="P4" s="11"/>
      <c r="Q4" s="32"/>
      <c r="R4" s="32"/>
      <c r="S4" s="32"/>
      <c r="T4" s="32"/>
      <c r="U4" s="32"/>
      <c r="V4" s="32"/>
      <c r="W4" s="11"/>
      <c r="X4" s="11"/>
      <c r="Y4" s="11"/>
      <c r="Z4" s="11"/>
      <c r="AA4" s="11"/>
      <c r="AB4" s="11"/>
      <c r="AC4" s="11"/>
      <c r="AD4" s="11"/>
      <c r="AE4" s="11"/>
      <c r="AP4" s="6"/>
      <c r="AQ4" s="6"/>
      <c r="AR4" s="6"/>
      <c r="AS4" s="6"/>
      <c r="AW4" s="6">
        <f>LOOKUP($E$9,$AZ$3:$BZ$3,$AZ4:$BZ4)</f>
        <v>0.11271399999999999</v>
      </c>
      <c r="AX4" s="33" t="s">
        <v>38</v>
      </c>
      <c r="AY4" s="34">
        <v>45838</v>
      </c>
      <c r="AZ4" s="35">
        <v>9.2499999999999999E-2</v>
      </c>
      <c r="BA4" s="35">
        <v>0.1032</v>
      </c>
      <c r="BB4" s="35">
        <v>0.1215</v>
      </c>
      <c r="BC4" s="35">
        <v>0.10804999999999999</v>
      </c>
      <c r="BD4" s="35">
        <v>8.4000000000000005E-2</v>
      </c>
      <c r="BE4" s="35">
        <v>0.10630000000000001</v>
      </c>
      <c r="BF4" s="35">
        <v>8.8499999999999995E-2</v>
      </c>
      <c r="BG4" s="35">
        <v>0.154</v>
      </c>
      <c r="BH4" s="35">
        <v>9.1300000000000006E-2</v>
      </c>
      <c r="BI4" s="35">
        <v>0.09</v>
      </c>
      <c r="BJ4" s="35">
        <v>0.1263</v>
      </c>
      <c r="BK4" s="35">
        <v>9.2179999999999998E-2</v>
      </c>
      <c r="BL4" s="35">
        <v>9.4500000000000001E-2</v>
      </c>
      <c r="BM4" s="35">
        <v>9.4700000000000006E-2</v>
      </c>
      <c r="BN4" s="35">
        <v>0.1135</v>
      </c>
      <c r="BO4" s="35">
        <v>0.13619999999999999</v>
      </c>
      <c r="BP4" s="35">
        <v>0.10050000000000001</v>
      </c>
      <c r="BQ4" s="35">
        <v>9.8500000000000004E-2</v>
      </c>
      <c r="BR4" s="35">
        <v>0.1225</v>
      </c>
      <c r="BS4" s="35">
        <v>0.10050000000000001</v>
      </c>
      <c r="BT4" s="35">
        <v>0.14746799999999999</v>
      </c>
      <c r="BU4" s="35">
        <v>8.8099999999999998E-2</v>
      </c>
      <c r="BV4" s="35">
        <v>0.1095</v>
      </c>
      <c r="BW4" s="35">
        <v>0.13400000000000001</v>
      </c>
      <c r="BX4" s="35">
        <v>9.6500000000000002E-2</v>
      </c>
      <c r="BY4" s="35">
        <v>9.6799999999999997E-2</v>
      </c>
      <c r="BZ4" s="35">
        <v>0.11271399999999999</v>
      </c>
      <c r="CA4" s="35"/>
      <c r="CB4" s="2"/>
      <c r="CC4" s="36" t="s">
        <v>39</v>
      </c>
      <c r="CH4" s="6" t="s">
        <v>40</v>
      </c>
      <c r="CK4" s="37" t="s">
        <v>41</v>
      </c>
      <c r="CR4" s="9" t="s">
        <v>42</v>
      </c>
      <c r="CS4" s="38">
        <v>46012</v>
      </c>
      <c r="CT4" s="39">
        <f t="shared" ref="CT4:DT4" si="1">CS4+14</f>
        <v>46026</v>
      </c>
      <c r="CU4" s="39">
        <f t="shared" si="1"/>
        <v>46040</v>
      </c>
      <c r="CV4" s="39">
        <f t="shared" si="1"/>
        <v>46054</v>
      </c>
      <c r="CW4" s="39">
        <f t="shared" si="1"/>
        <v>46068</v>
      </c>
      <c r="CX4" s="39">
        <f t="shared" si="1"/>
        <v>46082</v>
      </c>
      <c r="CY4" s="39">
        <f t="shared" si="1"/>
        <v>46096</v>
      </c>
      <c r="CZ4" s="39">
        <f t="shared" si="1"/>
        <v>46110</v>
      </c>
      <c r="DA4" s="39">
        <f t="shared" si="1"/>
        <v>46124</v>
      </c>
      <c r="DB4" s="39">
        <f t="shared" si="1"/>
        <v>46138</v>
      </c>
      <c r="DC4" s="39">
        <f t="shared" si="1"/>
        <v>46152</v>
      </c>
      <c r="DD4" s="39">
        <f t="shared" si="1"/>
        <v>46166</v>
      </c>
      <c r="DE4" s="39">
        <f t="shared" si="1"/>
        <v>46180</v>
      </c>
      <c r="DF4" s="39">
        <f t="shared" si="1"/>
        <v>46194</v>
      </c>
      <c r="DG4" s="39">
        <f t="shared" si="1"/>
        <v>46208</v>
      </c>
      <c r="DH4" s="39">
        <f t="shared" si="1"/>
        <v>46222</v>
      </c>
      <c r="DI4" s="39">
        <f t="shared" si="1"/>
        <v>46236</v>
      </c>
      <c r="DJ4" s="39">
        <f t="shared" si="1"/>
        <v>46250</v>
      </c>
      <c r="DK4" s="39">
        <f t="shared" si="1"/>
        <v>46264</v>
      </c>
      <c r="DL4" s="39">
        <f t="shared" si="1"/>
        <v>46278</v>
      </c>
      <c r="DM4" s="39">
        <f t="shared" si="1"/>
        <v>46292</v>
      </c>
      <c r="DN4" s="39">
        <f t="shared" si="1"/>
        <v>46306</v>
      </c>
      <c r="DO4" s="39">
        <f t="shared" si="1"/>
        <v>46320</v>
      </c>
      <c r="DP4" s="39">
        <f t="shared" si="1"/>
        <v>46334</v>
      </c>
      <c r="DQ4" s="39">
        <f t="shared" si="1"/>
        <v>46348</v>
      </c>
      <c r="DR4" s="39">
        <f t="shared" si="1"/>
        <v>46362</v>
      </c>
      <c r="DS4" s="39">
        <f t="shared" si="1"/>
        <v>46376</v>
      </c>
      <c r="DT4" s="39">
        <f t="shared" si="1"/>
        <v>46390</v>
      </c>
      <c r="DU4" s="39"/>
    </row>
    <row r="5" spans="1:125" ht="13.9" customHeight="1" thickBot="1">
      <c r="C5" s="40" t="s">
        <v>43</v>
      </c>
      <c r="E5" s="41">
        <f>AW4</f>
        <v>0.11271399999999999</v>
      </c>
      <c r="F5" s="42"/>
      <c r="H5" s="43" t="s">
        <v>44</v>
      </c>
      <c r="J5" s="44">
        <f>AY4</f>
        <v>45838</v>
      </c>
      <c r="K5" s="45"/>
      <c r="S5" s="46" t="s">
        <v>45</v>
      </c>
      <c r="T5" s="47"/>
      <c r="U5" s="47"/>
      <c r="V5" s="47"/>
      <c r="W5" s="47"/>
      <c r="X5" s="47"/>
      <c r="Y5" s="47"/>
      <c r="Z5" s="47"/>
      <c r="AA5" s="47"/>
      <c r="AB5" s="47"/>
      <c r="AC5" s="47"/>
      <c r="AD5" s="47"/>
      <c r="AE5" s="47"/>
      <c r="AK5" s="22"/>
      <c r="AP5" s="6"/>
      <c r="AQ5" s="6"/>
      <c r="AR5" s="6"/>
      <c r="AS5" s="6"/>
      <c r="AW5" s="6">
        <f>LOOKUP($E$9,$AZ$3:$BZ$3,$AZ5:$BZ5)</f>
        <v>1.4499</v>
      </c>
      <c r="AX5" s="33" t="s">
        <v>46</v>
      </c>
      <c r="AY5" s="34">
        <v>45839</v>
      </c>
      <c r="AZ5" s="35">
        <v>2.2200000000000001E-2</v>
      </c>
      <c r="BA5" s="35">
        <v>2.2200000000000001E-2</v>
      </c>
      <c r="BB5" s="35">
        <v>5.74E-2</v>
      </c>
      <c r="BC5" s="35">
        <v>2.2200000000000001E-2</v>
      </c>
      <c r="BD5" s="35">
        <v>2.2200000000000001E-2</v>
      </c>
      <c r="BE5" s="35">
        <v>2.2200000000000001E-2</v>
      </c>
      <c r="BF5" s="35">
        <v>2.2200000000000001E-2</v>
      </c>
      <c r="BG5" s="35">
        <v>2.2200000000000001E-2</v>
      </c>
      <c r="BH5" s="35">
        <v>2.2200000000000001E-2</v>
      </c>
      <c r="BI5" s="35">
        <v>2.2200000000000001E-2</v>
      </c>
      <c r="BJ5" s="35">
        <v>2.2200000000000001E-2</v>
      </c>
      <c r="BK5" s="35">
        <v>2.2200000000000001E-2</v>
      </c>
      <c r="BL5" s="35">
        <v>2.2200000000000001E-2</v>
      </c>
      <c r="BM5" s="35">
        <v>2.2200000000000001E-2</v>
      </c>
      <c r="BN5" s="35">
        <v>2.2200000000000001E-2</v>
      </c>
      <c r="BO5" s="35">
        <v>2.2200000000000001E-2</v>
      </c>
      <c r="BP5" s="35">
        <v>2.2200000000000001E-2</v>
      </c>
      <c r="BQ5" s="35">
        <f>0.01876+0.0004</f>
        <v>1.916E-2</v>
      </c>
      <c r="BR5" s="35">
        <v>2.2200000000000001E-2</v>
      </c>
      <c r="BS5" s="35">
        <v>2.2200000000000001E-2</v>
      </c>
      <c r="BT5" s="35">
        <v>2.2200000000000001E-2</v>
      </c>
      <c r="BU5" s="35">
        <v>2.2200000000000001E-2</v>
      </c>
      <c r="BV5" s="35">
        <v>2.2200000000000001E-2</v>
      </c>
      <c r="BW5" s="35">
        <v>2.2200000000000001E-2</v>
      </c>
      <c r="BX5" s="35">
        <v>2.2200000000000001E-2</v>
      </c>
      <c r="BY5" s="35">
        <v>2.2200000000000001E-2</v>
      </c>
      <c r="BZ5" s="35">
        <v>1.4499</v>
      </c>
      <c r="CA5" s="35">
        <v>0</v>
      </c>
      <c r="CB5" s="2"/>
      <c r="CC5" s="48">
        <v>45505</v>
      </c>
      <c r="CH5" s="21" t="s">
        <v>47</v>
      </c>
      <c r="CI5" s="21"/>
      <c r="CJ5" s="21"/>
      <c r="CK5" s="21" t="s">
        <v>48</v>
      </c>
      <c r="CR5" s="9" t="s">
        <v>49</v>
      </c>
      <c r="CS5" s="39">
        <f t="shared" ref="CS5:DT5" si="2">CS4+13</f>
        <v>46025</v>
      </c>
      <c r="CT5" s="39">
        <f t="shared" si="2"/>
        <v>46039</v>
      </c>
      <c r="CU5" s="39">
        <f t="shared" si="2"/>
        <v>46053</v>
      </c>
      <c r="CV5" s="39">
        <f t="shared" si="2"/>
        <v>46067</v>
      </c>
      <c r="CW5" s="39">
        <f t="shared" si="2"/>
        <v>46081</v>
      </c>
      <c r="CX5" s="39">
        <f t="shared" si="2"/>
        <v>46095</v>
      </c>
      <c r="CY5" s="39">
        <f t="shared" si="2"/>
        <v>46109</v>
      </c>
      <c r="CZ5" s="39">
        <f t="shared" si="2"/>
        <v>46123</v>
      </c>
      <c r="DA5" s="39">
        <f t="shared" si="2"/>
        <v>46137</v>
      </c>
      <c r="DB5" s="39">
        <f t="shared" si="2"/>
        <v>46151</v>
      </c>
      <c r="DC5" s="39">
        <f t="shared" si="2"/>
        <v>46165</v>
      </c>
      <c r="DD5" s="39">
        <f t="shared" si="2"/>
        <v>46179</v>
      </c>
      <c r="DE5" s="39">
        <f t="shared" si="2"/>
        <v>46193</v>
      </c>
      <c r="DF5" s="39">
        <f t="shared" si="2"/>
        <v>46207</v>
      </c>
      <c r="DG5" s="39">
        <f t="shared" si="2"/>
        <v>46221</v>
      </c>
      <c r="DH5" s="39">
        <f t="shared" si="2"/>
        <v>46235</v>
      </c>
      <c r="DI5" s="39">
        <f t="shared" si="2"/>
        <v>46249</v>
      </c>
      <c r="DJ5" s="39">
        <f t="shared" si="2"/>
        <v>46263</v>
      </c>
      <c r="DK5" s="39">
        <f t="shared" si="2"/>
        <v>46277</v>
      </c>
      <c r="DL5" s="39">
        <f t="shared" si="2"/>
        <v>46291</v>
      </c>
      <c r="DM5" s="39">
        <f t="shared" si="2"/>
        <v>46305</v>
      </c>
      <c r="DN5" s="39">
        <f t="shared" si="2"/>
        <v>46319</v>
      </c>
      <c r="DO5" s="39">
        <f t="shared" si="2"/>
        <v>46333</v>
      </c>
      <c r="DP5" s="39">
        <f t="shared" si="2"/>
        <v>46347</v>
      </c>
      <c r="DQ5" s="39">
        <f t="shared" si="2"/>
        <v>46361</v>
      </c>
      <c r="DR5" s="39">
        <f t="shared" si="2"/>
        <v>46375</v>
      </c>
      <c r="DS5" s="39">
        <f t="shared" si="2"/>
        <v>46389</v>
      </c>
      <c r="DT5" s="39">
        <f t="shared" si="2"/>
        <v>46403</v>
      </c>
      <c r="DU5" s="39"/>
    </row>
    <row r="6" spans="1:125" ht="13.9" customHeight="1" thickTop="1">
      <c r="C6" s="49" t="s">
        <v>50</v>
      </c>
      <c r="E6" s="41">
        <f>AW5</f>
        <v>1.4499</v>
      </c>
      <c r="F6" s="50">
        <f>E6</f>
        <v>1.4499</v>
      </c>
      <c r="G6" s="51">
        <v>7</v>
      </c>
      <c r="H6" s="43" t="s">
        <v>44</v>
      </c>
      <c r="I6" s="52"/>
      <c r="J6" s="44">
        <f>AY5</f>
        <v>45839</v>
      </c>
      <c r="K6" s="45"/>
      <c r="L6" s="52"/>
      <c r="P6" s="53"/>
      <c r="S6" s="54" t="str">
        <f>'[1]Property Profile (Variables)'!B23</f>
        <v>Jan</v>
      </c>
      <c r="T6" s="54" t="str">
        <f>'[1]Property Profile (Variables)'!C23</f>
        <v>Feb</v>
      </c>
      <c r="U6" s="54" t="str">
        <f>'[1]Property Profile (Variables)'!D23</f>
        <v>Mar</v>
      </c>
      <c r="V6" s="54" t="str">
        <f>'[1]Property Profile (Variables)'!E23</f>
        <v>Apr</v>
      </c>
      <c r="W6" s="54" t="str">
        <f>'[1]Property Profile (Variables)'!F23</f>
        <v>May</v>
      </c>
      <c r="X6" s="54" t="str">
        <f>'[1]Property Profile (Variables)'!G23</f>
        <v>Jun</v>
      </c>
      <c r="Y6" s="54" t="str">
        <f>'[1]Property Profile (Variables)'!H23</f>
        <v>Jul</v>
      </c>
      <c r="Z6" s="54" t="str">
        <f>'[1]Property Profile (Variables)'!I23</f>
        <v>Aug</v>
      </c>
      <c r="AA6" s="54" t="str">
        <f>'[1]Property Profile (Variables)'!J23</f>
        <v>Sep</v>
      </c>
      <c r="AB6" s="54" t="str">
        <f>'[1]Property Profile (Variables)'!K23</f>
        <v>Oct</v>
      </c>
      <c r="AC6" s="54" t="str">
        <f>'[1]Property Profile (Variables)'!L23</f>
        <v>Nov</v>
      </c>
      <c r="AD6" s="54" t="str">
        <f>'[1]Property Profile (Variables)'!M23</f>
        <v>Dec</v>
      </c>
      <c r="AE6" s="54" t="s">
        <v>51</v>
      </c>
      <c r="AP6" s="6"/>
      <c r="AQ6" s="6"/>
      <c r="AR6" s="6"/>
      <c r="AS6" s="6"/>
      <c r="AW6" s="6">
        <f>LOOKUP($E$9,$AZ$3:$BZ$3,$AZ6:$BZ6)</f>
        <v>1.4499</v>
      </c>
      <c r="AX6" s="55" t="s">
        <v>52</v>
      </c>
      <c r="AY6" s="34">
        <f>AY5</f>
        <v>45839</v>
      </c>
      <c r="AZ6" s="35">
        <v>2.2200000000000001E-2</v>
      </c>
      <c r="BA6" s="35">
        <v>2.2200000000000001E-2</v>
      </c>
      <c r="BB6" s="35">
        <v>5.74E-2</v>
      </c>
      <c r="BC6" s="35">
        <v>2.2200000000000001E-2</v>
      </c>
      <c r="BD6" s="35">
        <v>2.2200000000000001E-2</v>
      </c>
      <c r="BE6" s="35">
        <v>2.2200000000000001E-2</v>
      </c>
      <c r="BF6" s="35">
        <v>2.2200000000000001E-2</v>
      </c>
      <c r="BG6" s="35">
        <v>2.2200000000000001E-2</v>
      </c>
      <c r="BH6" s="35">
        <v>2.2200000000000001E-2</v>
      </c>
      <c r="BI6" s="35">
        <v>2.2200000000000001E-2</v>
      </c>
      <c r="BJ6" s="35">
        <v>2.2200000000000001E-2</v>
      </c>
      <c r="BK6" s="35">
        <v>2.2200000000000001E-2</v>
      </c>
      <c r="BL6" s="35">
        <v>2.2200000000000001E-2</v>
      </c>
      <c r="BM6" s="35">
        <v>2.2200000000000001E-2</v>
      </c>
      <c r="BN6" s="35">
        <v>2.2200000000000001E-2</v>
      </c>
      <c r="BO6" s="35">
        <v>2.2200000000000001E-2</v>
      </c>
      <c r="BP6" s="35">
        <v>2.2200000000000001E-2</v>
      </c>
      <c r="BQ6" s="35">
        <f>BQ5</f>
        <v>1.916E-2</v>
      </c>
      <c r="BR6" s="35">
        <v>2.2200000000000001E-2</v>
      </c>
      <c r="BS6" s="35">
        <v>2.2200000000000001E-2</v>
      </c>
      <c r="BT6" s="35">
        <v>2.2200000000000001E-2</v>
      </c>
      <c r="BU6" s="35">
        <v>2.2200000000000001E-2</v>
      </c>
      <c r="BV6" s="35">
        <v>2.2200000000000001E-2</v>
      </c>
      <c r="BW6" s="35">
        <v>2.2200000000000001E-2</v>
      </c>
      <c r="BX6" s="35">
        <v>2.2200000000000001E-2</v>
      </c>
      <c r="BY6" s="35">
        <v>2.2200000000000001E-2</v>
      </c>
      <c r="BZ6" s="35">
        <f>BZ5</f>
        <v>1.4499</v>
      </c>
      <c r="CA6" s="35">
        <v>0</v>
      </c>
      <c r="CB6" s="2"/>
      <c r="CC6" s="35">
        <v>7.7000000000000002E-3</v>
      </c>
      <c r="CH6" s="21" t="s">
        <v>53</v>
      </c>
      <c r="CI6" s="21"/>
      <c r="CJ6" s="21"/>
      <c r="CK6" s="21" t="s">
        <v>54</v>
      </c>
      <c r="CR6" s="6" t="s">
        <v>55</v>
      </c>
      <c r="CS6" s="39">
        <f t="shared" ref="CS6:DT6" si="3">CS5+6</f>
        <v>46031</v>
      </c>
      <c r="CT6" s="39">
        <f t="shared" si="3"/>
        <v>46045</v>
      </c>
      <c r="CU6" s="39">
        <f t="shared" si="3"/>
        <v>46059</v>
      </c>
      <c r="CV6" s="39">
        <f t="shared" si="3"/>
        <v>46073</v>
      </c>
      <c r="CW6" s="39">
        <f t="shared" si="3"/>
        <v>46087</v>
      </c>
      <c r="CX6" s="39">
        <f t="shared" si="3"/>
        <v>46101</v>
      </c>
      <c r="CY6" s="39">
        <f t="shared" si="3"/>
        <v>46115</v>
      </c>
      <c r="CZ6" s="39">
        <f t="shared" si="3"/>
        <v>46129</v>
      </c>
      <c r="DA6" s="39">
        <f t="shared" si="3"/>
        <v>46143</v>
      </c>
      <c r="DB6" s="39">
        <f t="shared" si="3"/>
        <v>46157</v>
      </c>
      <c r="DC6" s="39">
        <f t="shared" si="3"/>
        <v>46171</v>
      </c>
      <c r="DD6" s="39">
        <f t="shared" si="3"/>
        <v>46185</v>
      </c>
      <c r="DE6" s="39">
        <f t="shared" si="3"/>
        <v>46199</v>
      </c>
      <c r="DF6" s="39">
        <f t="shared" si="3"/>
        <v>46213</v>
      </c>
      <c r="DG6" s="39">
        <f t="shared" si="3"/>
        <v>46227</v>
      </c>
      <c r="DH6" s="39">
        <f t="shared" si="3"/>
        <v>46241</v>
      </c>
      <c r="DI6" s="39">
        <f t="shared" si="3"/>
        <v>46255</v>
      </c>
      <c r="DJ6" s="39">
        <f t="shared" si="3"/>
        <v>46269</v>
      </c>
      <c r="DK6" s="39">
        <f t="shared" si="3"/>
        <v>46283</v>
      </c>
      <c r="DL6" s="39">
        <f t="shared" si="3"/>
        <v>46297</v>
      </c>
      <c r="DM6" s="39">
        <f t="shared" si="3"/>
        <v>46311</v>
      </c>
      <c r="DN6" s="39">
        <f t="shared" si="3"/>
        <v>46325</v>
      </c>
      <c r="DO6" s="39">
        <f t="shared" si="3"/>
        <v>46339</v>
      </c>
      <c r="DP6" s="39">
        <f t="shared" si="3"/>
        <v>46353</v>
      </c>
      <c r="DQ6" s="39">
        <f t="shared" si="3"/>
        <v>46367</v>
      </c>
      <c r="DR6" s="39">
        <f t="shared" si="3"/>
        <v>46381</v>
      </c>
      <c r="DS6" s="39">
        <f t="shared" si="3"/>
        <v>46395</v>
      </c>
      <c r="DT6" s="39">
        <f t="shared" si="3"/>
        <v>46409</v>
      </c>
      <c r="DU6" s="39"/>
    </row>
    <row r="7" spans="1:125">
      <c r="C7" s="40" t="s">
        <v>56</v>
      </c>
      <c r="E7" s="56">
        <v>1072.1500000000001</v>
      </c>
      <c r="F7" s="52"/>
      <c r="G7" s="52"/>
      <c r="H7" s="52"/>
      <c r="I7" s="52"/>
      <c r="J7" s="52"/>
      <c r="K7" s="52"/>
      <c r="L7" s="52"/>
      <c r="M7" s="43"/>
      <c r="P7" s="53"/>
      <c r="Q7" s="44"/>
      <c r="R7" s="45"/>
      <c r="S7" s="57">
        <v>2</v>
      </c>
      <c r="T7" s="57">
        <v>2</v>
      </c>
      <c r="U7" s="57">
        <v>2</v>
      </c>
      <c r="V7" s="57">
        <v>2</v>
      </c>
      <c r="W7" s="57">
        <v>2</v>
      </c>
      <c r="X7" s="57">
        <v>2</v>
      </c>
      <c r="Y7" s="57">
        <v>3</v>
      </c>
      <c r="Z7" s="57">
        <v>2</v>
      </c>
      <c r="AA7" s="57">
        <v>2</v>
      </c>
      <c r="AB7" s="57">
        <v>2</v>
      </c>
      <c r="AC7" s="57">
        <v>2</v>
      </c>
      <c r="AD7" s="57">
        <v>3</v>
      </c>
      <c r="AE7" s="22">
        <f>SUM(S7:AD7)</f>
        <v>26</v>
      </c>
      <c r="AF7" s="6" t="s">
        <v>57</v>
      </c>
      <c r="AJ7" s="9"/>
      <c r="AP7" s="6"/>
      <c r="AQ7" s="6"/>
      <c r="AR7" s="6"/>
      <c r="AS7" s="6"/>
      <c r="CH7" s="21" t="s">
        <v>58</v>
      </c>
      <c r="CI7" s="21"/>
      <c r="CJ7" s="21"/>
      <c r="CK7" s="21" t="s">
        <v>59</v>
      </c>
      <c r="CR7" s="6" t="s">
        <v>60</v>
      </c>
      <c r="CS7" s="39">
        <f t="shared" ref="CS7:DT7" si="4">CS6-2</f>
        <v>46029</v>
      </c>
      <c r="CT7" s="39">
        <f t="shared" si="4"/>
        <v>46043</v>
      </c>
      <c r="CU7" s="39">
        <f t="shared" si="4"/>
        <v>46057</v>
      </c>
      <c r="CV7" s="39">
        <f t="shared" si="4"/>
        <v>46071</v>
      </c>
      <c r="CW7" s="39">
        <f t="shared" si="4"/>
        <v>46085</v>
      </c>
      <c r="CX7" s="39">
        <f t="shared" si="4"/>
        <v>46099</v>
      </c>
      <c r="CY7" s="39">
        <f t="shared" si="4"/>
        <v>46113</v>
      </c>
      <c r="CZ7" s="39">
        <f t="shared" si="4"/>
        <v>46127</v>
      </c>
      <c r="DA7" s="39">
        <f t="shared" si="4"/>
        <v>46141</v>
      </c>
      <c r="DB7" s="39">
        <f t="shared" si="4"/>
        <v>46155</v>
      </c>
      <c r="DC7" s="39">
        <f t="shared" si="4"/>
        <v>46169</v>
      </c>
      <c r="DD7" s="39">
        <f t="shared" si="4"/>
        <v>46183</v>
      </c>
      <c r="DE7" s="39">
        <f t="shared" si="4"/>
        <v>46197</v>
      </c>
      <c r="DF7" s="39">
        <f t="shared" si="4"/>
        <v>46211</v>
      </c>
      <c r="DG7" s="39">
        <f t="shared" si="4"/>
        <v>46225</v>
      </c>
      <c r="DH7" s="39">
        <f t="shared" si="4"/>
        <v>46239</v>
      </c>
      <c r="DI7" s="39">
        <f t="shared" si="4"/>
        <v>46253</v>
      </c>
      <c r="DJ7" s="39">
        <f t="shared" si="4"/>
        <v>46267</v>
      </c>
      <c r="DK7" s="39">
        <f t="shared" si="4"/>
        <v>46281</v>
      </c>
      <c r="DL7" s="39">
        <f t="shared" si="4"/>
        <v>46295</v>
      </c>
      <c r="DM7" s="39">
        <f t="shared" si="4"/>
        <v>46309</v>
      </c>
      <c r="DN7" s="39">
        <f t="shared" si="4"/>
        <v>46323</v>
      </c>
      <c r="DO7" s="39">
        <f t="shared" si="4"/>
        <v>46337</v>
      </c>
      <c r="DP7" s="39">
        <f t="shared" si="4"/>
        <v>46351</v>
      </c>
      <c r="DQ7" s="39">
        <f t="shared" si="4"/>
        <v>46365</v>
      </c>
      <c r="DR7" s="39">
        <f t="shared" si="4"/>
        <v>46379</v>
      </c>
      <c r="DS7" s="39">
        <f t="shared" si="4"/>
        <v>46393</v>
      </c>
      <c r="DT7" s="39">
        <f t="shared" si="4"/>
        <v>46407</v>
      </c>
      <c r="DU7" s="39"/>
    </row>
    <row r="8" spans="1:125">
      <c r="D8" s="6"/>
      <c r="H8" s="52"/>
      <c r="I8" s="52"/>
      <c r="J8" s="52"/>
      <c r="K8" s="52"/>
      <c r="L8" s="52"/>
      <c r="M8" s="6"/>
      <c r="N8" s="6"/>
      <c r="O8" s="6"/>
      <c r="P8" s="58"/>
      <c r="R8" s="9" t="s">
        <v>61</v>
      </c>
      <c r="S8" s="57">
        <v>1</v>
      </c>
      <c r="T8" s="57">
        <v>2</v>
      </c>
      <c r="U8" s="57">
        <v>2</v>
      </c>
      <c r="V8" s="57">
        <v>2</v>
      </c>
      <c r="W8" s="57">
        <v>2</v>
      </c>
      <c r="X8" s="57">
        <v>2</v>
      </c>
      <c r="Y8" s="57">
        <v>2</v>
      </c>
      <c r="Z8" s="57">
        <v>2</v>
      </c>
      <c r="AA8" s="57">
        <v>2</v>
      </c>
      <c r="AB8" s="57">
        <v>2</v>
      </c>
      <c r="AC8" s="57">
        <v>2</v>
      </c>
      <c r="AD8" s="57">
        <v>3</v>
      </c>
      <c r="AE8" s="22">
        <f>SUM(S8:AD8)</f>
        <v>24</v>
      </c>
      <c r="AF8" s="6" t="s">
        <v>57</v>
      </c>
      <c r="AP8" s="6"/>
      <c r="AQ8" s="6"/>
      <c r="AR8" s="6"/>
      <c r="AS8" s="6"/>
      <c r="CH8" s="21" t="s">
        <v>62</v>
      </c>
      <c r="CI8" s="21"/>
      <c r="CJ8" s="21"/>
      <c r="CK8" s="37" t="s">
        <v>63</v>
      </c>
      <c r="CR8" s="9" t="s">
        <v>64</v>
      </c>
      <c r="CS8" s="6">
        <f t="shared" ref="CS8:DT8" si="5">MAX(0,CS5-DAY(CS5)+1-CS4)+IF(CS9=1,IF(MONTH(CS4)=MONTH(CS5),14,0),0)</f>
        <v>11</v>
      </c>
      <c r="CT8" s="6">
        <f t="shared" si="5"/>
        <v>0</v>
      </c>
      <c r="CU8" s="6">
        <f t="shared" si="5"/>
        <v>14</v>
      </c>
      <c r="CV8" s="6">
        <f t="shared" si="5"/>
        <v>0</v>
      </c>
      <c r="CW8" s="6">
        <f t="shared" si="5"/>
        <v>14</v>
      </c>
      <c r="CX8" s="6">
        <f t="shared" si="5"/>
        <v>0</v>
      </c>
      <c r="CY8" s="6">
        <f t="shared" si="5"/>
        <v>14</v>
      </c>
      <c r="CZ8" s="6">
        <f t="shared" si="5"/>
        <v>3</v>
      </c>
      <c r="DA8" s="6">
        <f t="shared" si="5"/>
        <v>0</v>
      </c>
      <c r="DB8" s="6">
        <f t="shared" si="5"/>
        <v>5</v>
      </c>
      <c r="DC8" s="6">
        <f t="shared" si="5"/>
        <v>0</v>
      </c>
      <c r="DD8" s="6">
        <f t="shared" si="5"/>
        <v>8</v>
      </c>
      <c r="DE8" s="6">
        <f t="shared" si="5"/>
        <v>0</v>
      </c>
      <c r="DF8" s="6">
        <f t="shared" si="5"/>
        <v>10</v>
      </c>
      <c r="DG8" s="6">
        <f t="shared" si="5"/>
        <v>0</v>
      </c>
      <c r="DH8" s="6">
        <f t="shared" si="5"/>
        <v>13</v>
      </c>
      <c r="DI8" s="6">
        <f t="shared" si="5"/>
        <v>0</v>
      </c>
      <c r="DJ8" s="6">
        <f t="shared" si="5"/>
        <v>14</v>
      </c>
      <c r="DK8" s="6">
        <f t="shared" si="5"/>
        <v>2</v>
      </c>
      <c r="DL8" s="6">
        <f t="shared" si="5"/>
        <v>0</v>
      </c>
      <c r="DM8" s="6">
        <f t="shared" si="5"/>
        <v>4</v>
      </c>
      <c r="DN8" s="6">
        <f t="shared" si="5"/>
        <v>0</v>
      </c>
      <c r="DO8" s="6">
        <f t="shared" si="5"/>
        <v>7</v>
      </c>
      <c r="DP8" s="6">
        <f t="shared" si="5"/>
        <v>0</v>
      </c>
      <c r="DQ8" s="6">
        <f t="shared" si="5"/>
        <v>9</v>
      </c>
      <c r="DR8" s="6">
        <f t="shared" si="5"/>
        <v>0</v>
      </c>
      <c r="DS8" s="6">
        <f t="shared" si="5"/>
        <v>12</v>
      </c>
      <c r="DT8" s="6">
        <f t="shared" si="5"/>
        <v>0</v>
      </c>
    </row>
    <row r="9" spans="1:125">
      <c r="C9" s="3" t="s">
        <v>65</v>
      </c>
      <c r="E9" s="59" t="str">
        <f>'[1]Property Profile (Variables)'!F6</f>
        <v>WA</v>
      </c>
      <c r="F9" s="22"/>
      <c r="S9" s="60" t="str">
        <f t="shared" ref="S9:AD9" si="6">IF(S7=3," "&amp;S6,"")</f>
        <v/>
      </c>
      <c r="T9" s="60" t="str">
        <f t="shared" si="6"/>
        <v/>
      </c>
      <c r="U9" s="60" t="str">
        <f t="shared" si="6"/>
        <v/>
      </c>
      <c r="V9" s="60" t="str">
        <f t="shared" si="6"/>
        <v/>
      </c>
      <c r="W9" s="60" t="str">
        <f t="shared" si="6"/>
        <v/>
      </c>
      <c r="X9" s="60" t="str">
        <f t="shared" si="6"/>
        <v/>
      </c>
      <c r="Y9" s="60" t="str">
        <f t="shared" si="6"/>
        <v xml:space="preserve"> Jul</v>
      </c>
      <c r="Z9" s="60" t="str">
        <f t="shared" si="6"/>
        <v/>
      </c>
      <c r="AA9" s="60" t="str">
        <f t="shared" si="6"/>
        <v/>
      </c>
      <c r="AB9" s="60" t="str">
        <f t="shared" si="6"/>
        <v/>
      </c>
      <c r="AC9" s="60" t="str">
        <f t="shared" si="6"/>
        <v/>
      </c>
      <c r="AD9" s="60" t="str">
        <f t="shared" si="6"/>
        <v xml:space="preserve"> Dec</v>
      </c>
      <c r="AE9" s="60" t="str">
        <f>S9&amp;T9&amp;U9&amp;V9&amp;W9&amp;X9&amp;Y9&amp;Z9&amp;AA9&amp;AB9&amp;AC9&amp;AD9</f>
        <v xml:space="preserve"> Jul Dec</v>
      </c>
      <c r="AJ9" s="22"/>
      <c r="AP9" s="6"/>
      <c r="AQ9" s="6"/>
      <c r="AR9" s="6"/>
      <c r="AS9" s="6"/>
      <c r="CH9" s="21" t="s">
        <v>66</v>
      </c>
      <c r="CI9" s="21"/>
      <c r="CJ9" s="21"/>
      <c r="CK9" s="21" t="s">
        <v>67</v>
      </c>
      <c r="CS9" s="22">
        <f t="shared" ref="CS9:DT9" si="7">IF(MONTH(CS4)=MONTH(CS7),0,1)</f>
        <v>1</v>
      </c>
      <c r="CT9" s="22">
        <f t="shared" si="7"/>
        <v>0</v>
      </c>
      <c r="CU9" s="22">
        <f t="shared" si="7"/>
        <v>1</v>
      </c>
      <c r="CV9" s="22">
        <f t="shared" si="7"/>
        <v>0</v>
      </c>
      <c r="CW9" s="22">
        <f t="shared" si="7"/>
        <v>1</v>
      </c>
      <c r="CX9" s="22">
        <f t="shared" si="7"/>
        <v>0</v>
      </c>
      <c r="CY9" s="22">
        <f t="shared" si="7"/>
        <v>1</v>
      </c>
      <c r="CZ9" s="22">
        <f t="shared" si="7"/>
        <v>1</v>
      </c>
      <c r="DA9" s="22">
        <f t="shared" si="7"/>
        <v>0</v>
      </c>
      <c r="DB9" s="22">
        <f t="shared" si="7"/>
        <v>1</v>
      </c>
      <c r="DC9" s="22">
        <f t="shared" si="7"/>
        <v>0</v>
      </c>
      <c r="DD9" s="22">
        <f t="shared" si="7"/>
        <v>1</v>
      </c>
      <c r="DE9" s="22">
        <f t="shared" si="7"/>
        <v>0</v>
      </c>
      <c r="DF9" s="22">
        <f t="shared" si="7"/>
        <v>1</v>
      </c>
      <c r="DG9" s="22">
        <f t="shared" si="7"/>
        <v>0</v>
      </c>
      <c r="DH9" s="22">
        <f t="shared" si="7"/>
        <v>1</v>
      </c>
      <c r="DI9" s="22">
        <f t="shared" si="7"/>
        <v>0</v>
      </c>
      <c r="DJ9" s="22">
        <f t="shared" si="7"/>
        <v>1</v>
      </c>
      <c r="DK9" s="22">
        <f t="shared" si="7"/>
        <v>1</v>
      </c>
      <c r="DL9" s="22">
        <f t="shared" si="7"/>
        <v>0</v>
      </c>
      <c r="DM9" s="22">
        <f t="shared" si="7"/>
        <v>1</v>
      </c>
      <c r="DN9" s="22">
        <f t="shared" si="7"/>
        <v>0</v>
      </c>
      <c r="DO9" s="22">
        <f t="shared" si="7"/>
        <v>1</v>
      </c>
      <c r="DP9" s="22">
        <f t="shared" si="7"/>
        <v>0</v>
      </c>
      <c r="DQ9" s="22">
        <f t="shared" si="7"/>
        <v>1</v>
      </c>
      <c r="DR9" s="22">
        <f t="shared" si="7"/>
        <v>0</v>
      </c>
      <c r="DS9" s="22">
        <f t="shared" si="7"/>
        <v>1</v>
      </c>
      <c r="DT9" s="22">
        <f t="shared" si="7"/>
        <v>0</v>
      </c>
    </row>
    <row r="10" spans="1:125">
      <c r="C10" s="3" t="s">
        <v>68</v>
      </c>
      <c r="E10" s="61">
        <v>36.659999999999997</v>
      </c>
      <c r="F10" s="22"/>
      <c r="G10" s="9" t="s">
        <v>69</v>
      </c>
      <c r="H10" s="50">
        <v>3.2500000000000001E-2</v>
      </c>
      <c r="N10" s="62" t="s">
        <v>70</v>
      </c>
      <c r="O10" s="57" t="s">
        <v>71</v>
      </c>
      <c r="R10" s="63" t="str">
        <f>IF('[1]Property Profile (Variables)'!G26="Y","Delivery Schedule","")</f>
        <v/>
      </c>
      <c r="S10" s="64" t="str">
        <f>IF($R10="","",'[1]Rental Revenue'!H77)</f>
        <v/>
      </c>
      <c r="T10" s="64" t="str">
        <f>IF($R10="","",'[1]Rental Revenue'!I77)</f>
        <v/>
      </c>
      <c r="U10" s="64" t="str">
        <f>IF($R10="","",'[1]Rental Revenue'!J77)</f>
        <v/>
      </c>
      <c r="V10" s="64" t="str">
        <f>IF($R10="","",'[1]Rental Revenue'!K77)</f>
        <v/>
      </c>
      <c r="W10" s="64" t="str">
        <f>IF($R10="","",'[1]Rental Revenue'!L77)</f>
        <v/>
      </c>
      <c r="X10" s="64" t="str">
        <f>IF($R10="","",'[1]Rental Revenue'!M77)</f>
        <v/>
      </c>
      <c r="Y10" s="64" t="str">
        <f>IF($R10="","",'[1]Rental Revenue'!N77)</f>
        <v/>
      </c>
      <c r="Z10" s="64" t="str">
        <f>IF($R10="","",'[1]Rental Revenue'!O77)</f>
        <v/>
      </c>
      <c r="AA10" s="64" t="str">
        <f>IF($R10="","",'[1]Rental Revenue'!P77)</f>
        <v/>
      </c>
      <c r="AB10" s="64" t="str">
        <f>IF($R10="","",'[1]Rental Revenue'!Q77)</f>
        <v/>
      </c>
      <c r="AC10" s="64" t="str">
        <f>IF($R10="","",'[1]Rental Revenue'!R77)</f>
        <v/>
      </c>
      <c r="AD10" s="64" t="str">
        <f>IF($R10="","",'[1]Rental Revenue'!S77)</f>
        <v/>
      </c>
      <c r="AJ10" s="22"/>
      <c r="AP10" s="6"/>
      <c r="AQ10" s="6"/>
      <c r="AR10" s="6"/>
      <c r="AS10" s="6"/>
      <c r="CB10" s="37"/>
      <c r="CH10" s="21" t="s">
        <v>72</v>
      </c>
      <c r="CK10" s="21" t="s">
        <v>73</v>
      </c>
      <c r="CT10" s="6" t="s">
        <v>74</v>
      </c>
      <c r="CU10" s="6" t="s">
        <v>75</v>
      </c>
      <c r="CV10" s="6" t="s">
        <v>76</v>
      </c>
      <c r="CW10" s="6" t="s">
        <v>77</v>
      </c>
      <c r="CX10" s="6" t="s">
        <v>78</v>
      </c>
      <c r="CY10" s="6" t="s">
        <v>79</v>
      </c>
      <c r="CZ10" s="6" t="s">
        <v>80</v>
      </c>
      <c r="DA10" s="6" t="s">
        <v>81</v>
      </c>
      <c r="DB10" s="6" t="s">
        <v>82</v>
      </c>
      <c r="DC10" s="6" t="s">
        <v>83</v>
      </c>
      <c r="DD10" s="6" t="s">
        <v>84</v>
      </c>
      <c r="DE10" s="6" t="s">
        <v>85</v>
      </c>
    </row>
    <row r="11" spans="1:125">
      <c r="F11" s="52"/>
      <c r="G11" s="9" t="s">
        <v>86</v>
      </c>
      <c r="H11" s="65">
        <v>1000</v>
      </c>
      <c r="N11" s="62" t="str">
        <f>IF(O10="Y","","Does the Property Accrue payroll at year end only?")</f>
        <v>Does the Property Accrue payroll at year end only?</v>
      </c>
      <c r="O11" s="57" t="s">
        <v>71</v>
      </c>
      <c r="R11" s="63" t="s">
        <v>87</v>
      </c>
      <c r="S11" s="64">
        <f>'[1]Budget Worksheet (Sch A)'!AK6</f>
        <v>208.32</v>
      </c>
      <c r="T11" s="64">
        <f>'[1]Budget Worksheet (Sch A)'!AL6</f>
        <v>208.32</v>
      </c>
      <c r="U11" s="64">
        <f>'[1]Budget Worksheet (Sch A)'!AM6</f>
        <v>208.32</v>
      </c>
      <c r="V11" s="64">
        <f>'[1]Budget Worksheet (Sch A)'!AN6</f>
        <v>208.32</v>
      </c>
      <c r="W11" s="64">
        <f>'[1]Budget Worksheet (Sch A)'!AO6</f>
        <v>208.32</v>
      </c>
      <c r="X11" s="64">
        <f>'[1]Budget Worksheet (Sch A)'!AP6</f>
        <v>208.32</v>
      </c>
      <c r="Y11" s="64">
        <f>'[1]Budget Worksheet (Sch A)'!AQ6</f>
        <v>208.32</v>
      </c>
      <c r="Z11" s="64">
        <f>'[1]Budget Worksheet (Sch A)'!AR6</f>
        <v>208.32</v>
      </c>
      <c r="AA11" s="64">
        <f>'[1]Budget Worksheet (Sch A)'!AS6</f>
        <v>208.32</v>
      </c>
      <c r="AB11" s="64">
        <f>'[1]Budget Worksheet (Sch A)'!AT6</f>
        <v>208.32</v>
      </c>
      <c r="AC11" s="64">
        <f>'[1]Budget Worksheet (Sch A)'!AU6</f>
        <v>208.32</v>
      </c>
      <c r="AD11" s="64">
        <f>'[1]Budget Worksheet (Sch A)'!AV6</f>
        <v>208.32</v>
      </c>
      <c r="AP11" s="6"/>
      <c r="AQ11" s="6"/>
      <c r="AR11" s="6"/>
      <c r="AS11" s="6"/>
      <c r="CH11" s="21" t="s">
        <v>88</v>
      </c>
      <c r="CI11" s="21"/>
      <c r="CJ11" s="21"/>
      <c r="CK11" s="21" t="s">
        <v>89</v>
      </c>
      <c r="CT11" s="22">
        <v>1</v>
      </c>
      <c r="CU11" s="22">
        <v>0</v>
      </c>
      <c r="CV11" s="22">
        <v>0</v>
      </c>
      <c r="CW11" s="22">
        <v>0</v>
      </c>
      <c r="CX11" s="22">
        <v>0</v>
      </c>
      <c r="CY11" s="22">
        <v>0</v>
      </c>
      <c r="CZ11" s="22">
        <v>0</v>
      </c>
      <c r="DA11" s="22">
        <v>0</v>
      </c>
      <c r="DB11" s="22">
        <v>0</v>
      </c>
      <c r="DC11" s="22">
        <v>0</v>
      </c>
      <c r="DD11" s="22">
        <v>0</v>
      </c>
      <c r="DE11" s="6">
        <v>0</v>
      </c>
      <c r="DF11" s="6">
        <v>1</v>
      </c>
    </row>
    <row r="12" spans="1:125" ht="12" customHeight="1" thickBot="1">
      <c r="O12" s="66" t="str">
        <f>IF(AND(O11="Y",O10="Y"),"Do Not enter Y in both cells, O9 and O10. If accruing monthly leave N in cell O10.","")</f>
        <v/>
      </c>
      <c r="Q12" s="67"/>
      <c r="R12" s="67"/>
      <c r="S12" s="68"/>
      <c r="T12" s="68"/>
      <c r="AF12" s="60" t="s">
        <v>90</v>
      </c>
      <c r="AP12" s="6"/>
      <c r="AQ12" s="6"/>
      <c r="AR12" s="6"/>
      <c r="AS12" s="6"/>
      <c r="CH12" s="21" t="s">
        <v>91</v>
      </c>
      <c r="CI12" s="21"/>
      <c r="CJ12" s="21"/>
      <c r="CK12" s="21" t="s">
        <v>92</v>
      </c>
      <c r="CP12" s="69"/>
      <c r="CQ12" s="70"/>
    </row>
    <row r="13" spans="1:125" ht="60" customHeight="1" thickTop="1">
      <c r="C13" s="71" t="s">
        <v>93</v>
      </c>
      <c r="D13" s="71" t="s">
        <v>94</v>
      </c>
      <c r="E13" s="72" t="s">
        <v>95</v>
      </c>
      <c r="F13" s="72" t="s">
        <v>96</v>
      </c>
      <c r="G13" s="72" t="s">
        <v>97</v>
      </c>
      <c r="H13" s="72" t="s">
        <v>98</v>
      </c>
      <c r="I13" s="72" t="s">
        <v>99</v>
      </c>
      <c r="J13" s="72" t="s">
        <v>100</v>
      </c>
      <c r="K13" s="72" t="s">
        <v>101</v>
      </c>
      <c r="L13" s="72" t="s">
        <v>102</v>
      </c>
      <c r="M13" s="72" t="s">
        <v>103</v>
      </c>
      <c r="N13" s="72" t="s">
        <v>104</v>
      </c>
      <c r="O13" s="72" t="s">
        <v>105</v>
      </c>
      <c r="P13" s="73" t="s">
        <v>106</v>
      </c>
      <c r="Q13" s="72" t="s">
        <v>107</v>
      </c>
      <c r="R13" s="72" t="s">
        <v>108</v>
      </c>
      <c r="S13" s="54" t="str">
        <f t="shared" ref="S13:AE13" si="8">S6</f>
        <v>Jan</v>
      </c>
      <c r="T13" s="54" t="str">
        <f t="shared" si="8"/>
        <v>Feb</v>
      </c>
      <c r="U13" s="54" t="str">
        <f t="shared" si="8"/>
        <v>Mar</v>
      </c>
      <c r="V13" s="54" t="str">
        <f t="shared" si="8"/>
        <v>Apr</v>
      </c>
      <c r="W13" s="54" t="str">
        <f t="shared" si="8"/>
        <v>May</v>
      </c>
      <c r="X13" s="54" t="str">
        <f t="shared" si="8"/>
        <v>Jun</v>
      </c>
      <c r="Y13" s="54" t="str">
        <f t="shared" si="8"/>
        <v>Jul</v>
      </c>
      <c r="Z13" s="54" t="str">
        <f t="shared" si="8"/>
        <v>Aug</v>
      </c>
      <c r="AA13" s="54" t="str">
        <f t="shared" si="8"/>
        <v>Sep</v>
      </c>
      <c r="AB13" s="54" t="str">
        <f t="shared" si="8"/>
        <v>Oct</v>
      </c>
      <c r="AC13" s="54" t="str">
        <f t="shared" si="8"/>
        <v>Nov</v>
      </c>
      <c r="AD13" s="54" t="str">
        <f t="shared" si="8"/>
        <v>Dec</v>
      </c>
      <c r="AE13" s="54" t="str">
        <f t="shared" si="8"/>
        <v>Total</v>
      </c>
      <c r="AF13" s="67"/>
      <c r="AH13" s="11" t="s">
        <v>109</v>
      </c>
      <c r="AP13" s="6"/>
      <c r="AQ13" s="6"/>
      <c r="AR13" s="6"/>
      <c r="AS13" s="6"/>
    </row>
    <row r="14" spans="1:125">
      <c r="A14" s="1" t="str">
        <f>IF(F14+G14+H14+M14=0,"Uncheck to Hide","")</f>
        <v/>
      </c>
      <c r="B14" s="74" t="s">
        <v>110</v>
      </c>
      <c r="C14" s="75" t="s">
        <v>111</v>
      </c>
      <c r="D14" s="76" t="s">
        <v>112</v>
      </c>
      <c r="E14" s="77"/>
      <c r="F14" s="78">
        <v>1</v>
      </c>
      <c r="G14" s="79">
        <v>1</v>
      </c>
      <c r="H14" s="80"/>
      <c r="I14" s="80">
        <v>35</v>
      </c>
      <c r="J14" s="81">
        <v>45678</v>
      </c>
      <c r="K14" s="82">
        <v>48.07</v>
      </c>
      <c r="L14" s="83">
        <v>0</v>
      </c>
      <c r="M14" s="84">
        <f>ROUND(K14*(1+L14),2)</f>
        <v>48.07</v>
      </c>
      <c r="N14" s="85">
        <v>40</v>
      </c>
      <c r="O14" s="85"/>
      <c r="P14" s="86">
        <f>IF(SUM(S15:AD15)&gt;0,1,0)</f>
        <v>0</v>
      </c>
      <c r="Q14" s="87">
        <f>M14*N14*52</f>
        <v>99985.599999999991</v>
      </c>
      <c r="R14" s="88"/>
      <c r="S14" s="89">
        <f t="shared" ref="S14:AD14" si="9">IF(S15="",$M14*$N14*2*S$7+$P16*S$7+$O14*$M14*1.5*2*S$7+IF($O$10="Y",(SUMIF($CS$3:$DT$3,S$1,$CS$8:$DT$8)-SUMIF($CS$3:$DT$3,R$1,$CS$8:$DT$8))*($M14*$N14*2*S$7+$P16*S$7+$O14*$M14*1.5*2*S$7)/(S$7*14),0)+IF($O$11="Y",(SUMIF($CS$3:$DT$3,S$1,$CS$8:$DT$8)*CU$11-SUMIF($CS$3:$DT$3,R$1,$CS$8:$DT$8)*CT$11)*($M14*$N14*2*S$7+$P16*S$7+$O14*$M14*1.5*2*S$7)/(S$7*14),0),S15)</f>
        <v>7691.2</v>
      </c>
      <c r="T14" s="89">
        <f t="shared" si="9"/>
        <v>7691.2</v>
      </c>
      <c r="U14" s="89">
        <f t="shared" si="9"/>
        <v>7691.2</v>
      </c>
      <c r="V14" s="89">
        <f t="shared" si="9"/>
        <v>7691.2</v>
      </c>
      <c r="W14" s="89">
        <f t="shared" si="9"/>
        <v>7691.2</v>
      </c>
      <c r="X14" s="89">
        <f t="shared" si="9"/>
        <v>7691.2</v>
      </c>
      <c r="Y14" s="89">
        <f t="shared" si="9"/>
        <v>11536.8</v>
      </c>
      <c r="Z14" s="89">
        <f t="shared" si="9"/>
        <v>7691.2</v>
      </c>
      <c r="AA14" s="89">
        <f t="shared" si="9"/>
        <v>7691.2</v>
      </c>
      <c r="AB14" s="89">
        <f t="shared" si="9"/>
        <v>7691.2</v>
      </c>
      <c r="AC14" s="89">
        <f t="shared" si="9"/>
        <v>7691.2</v>
      </c>
      <c r="AD14" s="89">
        <f t="shared" si="9"/>
        <v>11536.8</v>
      </c>
      <c r="AE14" s="90">
        <f>SUM(S14:AD14)</f>
        <v>99985.599999999991</v>
      </c>
      <c r="CT14" s="91"/>
      <c r="CU14" s="91"/>
      <c r="CV14" s="91"/>
      <c r="CW14" s="91"/>
      <c r="CX14" s="91"/>
      <c r="CY14" s="91"/>
      <c r="CZ14" s="91"/>
      <c r="DA14" s="91"/>
      <c r="DB14" s="91"/>
    </row>
    <row r="15" spans="1:125">
      <c r="A15" s="1" t="str">
        <f>A14</f>
        <v/>
      </c>
      <c r="B15" s="92"/>
      <c r="C15" s="93"/>
      <c r="D15" s="93"/>
      <c r="E15" s="93"/>
      <c r="F15" s="93"/>
      <c r="G15" s="93"/>
      <c r="H15" s="93"/>
      <c r="I15" s="93"/>
      <c r="J15" s="93"/>
      <c r="K15" s="93"/>
      <c r="L15" s="93"/>
      <c r="M15" s="93"/>
      <c r="N15" s="93"/>
      <c r="O15" s="93"/>
      <c r="P15" s="93"/>
      <c r="Q15" s="93"/>
      <c r="R15" s="93"/>
      <c r="S15" s="94"/>
      <c r="T15" s="94"/>
      <c r="U15" s="94"/>
      <c r="V15" s="94"/>
      <c r="W15" s="94"/>
      <c r="X15" s="94"/>
      <c r="Y15" s="94"/>
      <c r="Z15" s="94"/>
      <c r="AA15" s="94"/>
      <c r="AB15" s="94"/>
      <c r="AC15" s="94"/>
      <c r="AD15" s="94"/>
      <c r="AE15" s="93"/>
      <c r="AG15" s="95"/>
    </row>
    <row r="16" spans="1:125" s="105" customFormat="1" hidden="1">
      <c r="A16" s="96" t="s">
        <v>113</v>
      </c>
      <c r="B16" s="97"/>
      <c r="C16" s="98"/>
      <c r="D16" s="99"/>
      <c r="E16" s="99"/>
      <c r="F16" s="99"/>
      <c r="G16" s="100"/>
      <c r="H16" s="100"/>
      <c r="I16" s="100"/>
      <c r="J16" s="100"/>
      <c r="K16" s="100"/>
      <c r="L16" s="100"/>
      <c r="M16" s="101"/>
      <c r="N16" s="102"/>
      <c r="O16" s="102"/>
      <c r="P16" s="103">
        <f>+M14*N14*R14/AE$7</f>
        <v>0</v>
      </c>
      <c r="Q16" s="104"/>
      <c r="S16" s="106">
        <f t="shared" ref="S16:AD16" si="10">IF(S15&gt;0,S15-$P16*S$7,+S14-$P16*S$7)</f>
        <v>7691.2</v>
      </c>
      <c r="T16" s="106">
        <f t="shared" si="10"/>
        <v>7691.2</v>
      </c>
      <c r="U16" s="106">
        <f t="shared" si="10"/>
        <v>7691.2</v>
      </c>
      <c r="V16" s="106">
        <f t="shared" si="10"/>
        <v>7691.2</v>
      </c>
      <c r="W16" s="106">
        <f t="shared" si="10"/>
        <v>7691.2</v>
      </c>
      <c r="X16" s="106">
        <f t="shared" si="10"/>
        <v>7691.2</v>
      </c>
      <c r="Y16" s="106">
        <f t="shared" si="10"/>
        <v>11536.8</v>
      </c>
      <c r="Z16" s="106">
        <f t="shared" si="10"/>
        <v>7691.2</v>
      </c>
      <c r="AA16" s="106">
        <f t="shared" si="10"/>
        <v>7691.2</v>
      </c>
      <c r="AB16" s="106">
        <f t="shared" si="10"/>
        <v>7691.2</v>
      </c>
      <c r="AC16" s="106">
        <f t="shared" si="10"/>
        <v>7691.2</v>
      </c>
      <c r="AD16" s="106">
        <f t="shared" si="10"/>
        <v>11536.8</v>
      </c>
      <c r="AE16" s="107"/>
      <c r="AG16" s="58"/>
      <c r="AP16" s="108"/>
      <c r="AQ16" s="109"/>
      <c r="AR16" s="109"/>
      <c r="AS16" s="108"/>
    </row>
    <row r="17" spans="1:61" s="105" customFormat="1" hidden="1">
      <c r="A17" s="96" t="s">
        <v>113</v>
      </c>
      <c r="B17" s="97"/>
      <c r="C17" s="98"/>
      <c r="D17" s="99"/>
      <c r="E17" s="99"/>
      <c r="F17" s="99"/>
      <c r="G17" s="100"/>
      <c r="H17" s="100"/>
      <c r="I17" s="100"/>
      <c r="J17" s="100"/>
      <c r="K17" s="100"/>
      <c r="L17" s="100"/>
      <c r="M17" s="101"/>
      <c r="N17" s="102"/>
      <c r="O17" s="102"/>
      <c r="P17" s="99"/>
      <c r="Q17" s="104"/>
      <c r="R17" s="104"/>
      <c r="S17" s="110">
        <f>+S16</f>
        <v>7691.2</v>
      </c>
      <c r="T17" s="110">
        <f t="shared" ref="T17:AD17" si="11">+T16+S17</f>
        <v>15382.4</v>
      </c>
      <c r="U17" s="110">
        <f t="shared" si="11"/>
        <v>23073.599999999999</v>
      </c>
      <c r="V17" s="110">
        <f t="shared" si="11"/>
        <v>30764.799999999999</v>
      </c>
      <c r="W17" s="110">
        <f t="shared" si="11"/>
        <v>38456</v>
      </c>
      <c r="X17" s="110">
        <f t="shared" si="11"/>
        <v>46147.199999999997</v>
      </c>
      <c r="Y17" s="110">
        <f t="shared" si="11"/>
        <v>57684</v>
      </c>
      <c r="Z17" s="110">
        <f t="shared" si="11"/>
        <v>65375.199999999997</v>
      </c>
      <c r="AA17" s="110">
        <f t="shared" si="11"/>
        <v>73066.399999999994</v>
      </c>
      <c r="AB17" s="110">
        <f t="shared" si="11"/>
        <v>80757.599999999991</v>
      </c>
      <c r="AC17" s="110">
        <f t="shared" si="11"/>
        <v>88448.799999999988</v>
      </c>
      <c r="AD17" s="110">
        <f t="shared" si="11"/>
        <v>99985.599999999991</v>
      </c>
      <c r="AE17" s="107"/>
      <c r="AG17" s="58"/>
      <c r="AP17" s="109"/>
      <c r="AQ17" s="109"/>
      <c r="AR17" s="109"/>
      <c r="AS17" s="109"/>
    </row>
    <row r="18" spans="1:61" ht="13">
      <c r="A18" s="1" t="str">
        <f>A15</f>
        <v/>
      </c>
      <c r="B18" s="111"/>
      <c r="C18" s="112" t="s">
        <v>38</v>
      </c>
      <c r="D18" s="113"/>
      <c r="E18" s="113"/>
      <c r="F18" s="113"/>
      <c r="G18" s="113"/>
      <c r="H18" s="113"/>
      <c r="I18" s="113"/>
      <c r="J18" s="113"/>
      <c r="K18" s="113"/>
      <c r="L18" s="113"/>
      <c r="M18" s="113"/>
      <c r="N18" s="113"/>
      <c r="O18" s="113"/>
      <c r="P18" s="113"/>
      <c r="Q18" s="113"/>
      <c r="R18" s="113"/>
      <c r="S18" s="114">
        <f t="shared" ref="S18:AD18" si="12">IF($E$9="CA",IF(R17&lt;7000,$E$5*S16,($E$5-0.043)*S16),IF($E$9="IL",IF(R17&lt;12960,$E$5*S16,($E$5-0.04125)*S16),IF($E$9="PA",IF(R17&lt;10000,$E$5*S16,($E$5-0.071)*S16),IF($E$9="TX",IF(R17&lt;9000,$E$5*S16,($E$5-0.0363)*S16),IF($E$9="UT",IF(R17&lt;44800,$E$5*S16,0),$E$5*S16)))))</f>
        <v>866.90591679999989</v>
      </c>
      <c r="T18" s="114">
        <f t="shared" si="12"/>
        <v>866.90591679999989</v>
      </c>
      <c r="U18" s="114">
        <f t="shared" si="12"/>
        <v>866.90591679999989</v>
      </c>
      <c r="V18" s="114">
        <f t="shared" si="12"/>
        <v>866.90591679999989</v>
      </c>
      <c r="W18" s="114">
        <f t="shared" si="12"/>
        <v>866.90591679999989</v>
      </c>
      <c r="X18" s="114">
        <f t="shared" si="12"/>
        <v>866.90591679999989</v>
      </c>
      <c r="Y18" s="114">
        <f t="shared" si="12"/>
        <v>1300.3588751999998</v>
      </c>
      <c r="Z18" s="114">
        <f t="shared" si="12"/>
        <v>866.90591679999989</v>
      </c>
      <c r="AA18" s="114">
        <f t="shared" si="12"/>
        <v>866.90591679999989</v>
      </c>
      <c r="AB18" s="114">
        <f t="shared" si="12"/>
        <v>866.90591679999989</v>
      </c>
      <c r="AC18" s="114">
        <f t="shared" si="12"/>
        <v>866.90591679999989</v>
      </c>
      <c r="AD18" s="114">
        <f t="shared" si="12"/>
        <v>1300.3588751999998</v>
      </c>
      <c r="AE18" s="115"/>
      <c r="AG18" s="69"/>
      <c r="AP18" s="116"/>
      <c r="AS18" s="116"/>
      <c r="AZ18" s="20"/>
    </row>
    <row r="19" spans="1:61" ht="13">
      <c r="A19" s="1" t="str">
        <f>A18</f>
        <v/>
      </c>
      <c r="B19" s="111"/>
      <c r="C19" s="112" t="s">
        <v>114</v>
      </c>
      <c r="D19" s="113"/>
      <c r="E19" s="113"/>
      <c r="F19" s="113"/>
      <c r="G19" s="113"/>
      <c r="H19" s="113"/>
      <c r="I19" s="113"/>
      <c r="J19" s="113"/>
      <c r="K19" s="113"/>
      <c r="L19" s="113"/>
      <c r="M19" s="113"/>
      <c r="N19" s="113"/>
      <c r="O19" s="113"/>
      <c r="P19" s="113"/>
      <c r="Q19" s="113"/>
      <c r="R19" s="113"/>
      <c r="S19" s="117">
        <f t="shared" ref="S19:AD19" si="13">IF($E$9="WA",IF(S$1&lt;$G$6,$E$6*$N14*2*S$7+$CA$5*S16,$F$6*$N14*2*S$7+$CA$5*S16),IF($E$9="NV",IF(R17&gt;36000,0,IF(S$1&lt;$G$6,$E$6*S16,$F$6*S16)),IF(S$1&lt;$G$6,$E$6*S16,$F$6*S16)))</f>
        <v>231.98399999999998</v>
      </c>
      <c r="T19" s="117">
        <f t="shared" si="13"/>
        <v>231.98399999999998</v>
      </c>
      <c r="U19" s="117">
        <f t="shared" si="13"/>
        <v>231.98399999999998</v>
      </c>
      <c r="V19" s="117">
        <f t="shared" si="13"/>
        <v>231.98399999999998</v>
      </c>
      <c r="W19" s="117">
        <f t="shared" si="13"/>
        <v>231.98399999999998</v>
      </c>
      <c r="X19" s="117">
        <f t="shared" si="13"/>
        <v>231.98399999999998</v>
      </c>
      <c r="Y19" s="117">
        <f t="shared" si="13"/>
        <v>347.976</v>
      </c>
      <c r="Z19" s="117">
        <f t="shared" si="13"/>
        <v>231.98399999999998</v>
      </c>
      <c r="AA19" s="117">
        <f t="shared" si="13"/>
        <v>231.98399999999998</v>
      </c>
      <c r="AB19" s="117">
        <f t="shared" si="13"/>
        <v>231.98399999999998</v>
      </c>
      <c r="AC19" s="117">
        <f t="shared" si="13"/>
        <v>231.98399999999998</v>
      </c>
      <c r="AD19" s="117">
        <f t="shared" si="13"/>
        <v>347.976</v>
      </c>
      <c r="AE19" s="115"/>
      <c r="AZ19" s="20"/>
    </row>
    <row r="20" spans="1:61" ht="13">
      <c r="A20" s="1" t="str">
        <f>A19</f>
        <v/>
      </c>
      <c r="B20" s="111"/>
      <c r="C20" s="118" t="s">
        <v>86</v>
      </c>
      <c r="D20" s="113"/>
      <c r="E20" s="113"/>
      <c r="F20" s="113"/>
      <c r="G20" s="113"/>
      <c r="H20" s="113"/>
      <c r="I20" s="113"/>
      <c r="J20" s="113"/>
      <c r="K20" s="113"/>
      <c r="L20" s="113"/>
      <c r="M20" s="113"/>
      <c r="N20" s="113"/>
      <c r="O20" s="113"/>
      <c r="P20" s="113"/>
      <c r="Q20" s="113"/>
      <c r="R20" s="113"/>
      <c r="S20" s="117">
        <f t="shared" ref="S20:AD20" si="14">IF(S14=0,0,$H$11/26*S$7*IF(OR($G14=0,$G14=1),1,$G14))</f>
        <v>76.92307692307692</v>
      </c>
      <c r="T20" s="117">
        <f t="shared" si="14"/>
        <v>76.92307692307692</v>
      </c>
      <c r="U20" s="117">
        <f t="shared" si="14"/>
        <v>76.92307692307692</v>
      </c>
      <c r="V20" s="117">
        <f t="shared" si="14"/>
        <v>76.92307692307692</v>
      </c>
      <c r="W20" s="117">
        <f t="shared" si="14"/>
        <v>76.92307692307692</v>
      </c>
      <c r="X20" s="117">
        <f t="shared" si="14"/>
        <v>76.92307692307692</v>
      </c>
      <c r="Y20" s="117">
        <f t="shared" si="14"/>
        <v>115.38461538461539</v>
      </c>
      <c r="Z20" s="117">
        <f t="shared" si="14"/>
        <v>76.92307692307692</v>
      </c>
      <c r="AA20" s="117">
        <f t="shared" si="14"/>
        <v>76.92307692307692</v>
      </c>
      <c r="AB20" s="117">
        <f t="shared" si="14"/>
        <v>76.92307692307692</v>
      </c>
      <c r="AC20" s="117">
        <f t="shared" si="14"/>
        <v>76.92307692307692</v>
      </c>
      <c r="AD20" s="117">
        <f t="shared" si="14"/>
        <v>115.38461538461539</v>
      </c>
      <c r="AE20" s="115"/>
      <c r="AZ20" s="20"/>
    </row>
    <row r="21" spans="1:61" ht="13">
      <c r="A21" s="1" t="str">
        <f>A19</f>
        <v/>
      </c>
      <c r="B21" s="111"/>
      <c r="C21" s="118" t="str">
        <f>IF($E$9="CA","",$C$269)</f>
        <v>HEALTH INS. &amp; EMPL. BENEFITS</v>
      </c>
      <c r="D21" s="119"/>
      <c r="E21" s="120"/>
      <c r="F21" s="120"/>
      <c r="G21" s="120"/>
      <c r="H21" s="120"/>
      <c r="I21" s="120"/>
      <c r="J21" s="120"/>
      <c r="K21" s="120"/>
      <c r="L21" s="120"/>
      <c r="M21" s="120"/>
      <c r="N21" s="120"/>
      <c r="O21" s="120"/>
      <c r="P21" s="120"/>
      <c r="Q21" s="120"/>
      <c r="R21" s="120"/>
      <c r="S21" s="121">
        <f t="shared" ref="S21:AD21" si="15">IF(OR($E$9="CA",$E$9="CO",$E$9="OR",$E$9="WA"),0,IF($G14=0,0,$G14*$E$7*S$8/2+S16*$CC$6))</f>
        <v>0</v>
      </c>
      <c r="T21" s="121">
        <f t="shared" si="15"/>
        <v>0</v>
      </c>
      <c r="U21" s="121">
        <f t="shared" si="15"/>
        <v>0</v>
      </c>
      <c r="V21" s="121">
        <f t="shared" si="15"/>
        <v>0</v>
      </c>
      <c r="W21" s="121">
        <f t="shared" si="15"/>
        <v>0</v>
      </c>
      <c r="X21" s="121">
        <f t="shared" si="15"/>
        <v>0</v>
      </c>
      <c r="Y21" s="121">
        <f t="shared" si="15"/>
        <v>0</v>
      </c>
      <c r="Z21" s="121">
        <f t="shared" si="15"/>
        <v>0</v>
      </c>
      <c r="AA21" s="121">
        <f t="shared" si="15"/>
        <v>0</v>
      </c>
      <c r="AB21" s="121">
        <f t="shared" si="15"/>
        <v>0</v>
      </c>
      <c r="AC21" s="121">
        <f t="shared" si="15"/>
        <v>0</v>
      </c>
      <c r="AD21" s="121">
        <f t="shared" si="15"/>
        <v>0</v>
      </c>
      <c r="AE21" s="115"/>
      <c r="AZ21" s="20"/>
    </row>
    <row r="22" spans="1:61" ht="13" hidden="1">
      <c r="A22" s="1" t="str">
        <f>IF(F22+G22+H22+M22=0,"Uncheck to Hide","")</f>
        <v>Uncheck to Hide</v>
      </c>
      <c r="B22" s="74" t="str">
        <f>B14</f>
        <v>6330-000  MANAGEMENT SALARIES</v>
      </c>
      <c r="C22" s="122" t="s">
        <v>115</v>
      </c>
      <c r="D22" s="76"/>
      <c r="E22" s="123"/>
      <c r="F22" s="124"/>
      <c r="G22" s="125"/>
      <c r="H22" s="80"/>
      <c r="I22" s="80">
        <v>35</v>
      </c>
      <c r="J22" s="81"/>
      <c r="K22" s="82"/>
      <c r="L22" s="83"/>
      <c r="M22" s="84">
        <f>ROUND(K22*(1+L22),2)</f>
        <v>0</v>
      </c>
      <c r="N22" s="85"/>
      <c r="O22" s="85"/>
      <c r="P22" s="126">
        <f>IF(SUM(S23:AD23)&gt;0,1,0)</f>
        <v>0</v>
      </c>
      <c r="Q22" s="127">
        <f>M22*N22*52</f>
        <v>0</v>
      </c>
      <c r="R22" s="88"/>
      <c r="S22" s="89">
        <f t="shared" ref="S22:AD22" si="16">IF(S23="",$M22*$N22*2*S$7+$P24*S$7+$O22*$M22*1.5*2*S$7+IF($O$10="Y",(SUMIF($CS$3:$DT$3,S$1,$CS$8:$DT$8)-SUMIF($CS$3:$DT$3,R$1,$CS$8:$DT$8))*($M22*$N22*2*S$7+$P24*S$7+$O22*$M22*1.5*2*S$7)/(S$7*14),0)+IF($O$11="Y",(SUMIF($CS$3:$DT$3,S$1,$CS$8:$DT$8)*CU$11-SUMIF($CS$3:$DT$3,R$1,$CS$8:$DT$8)*CT$11)*($M22*$N22*2*S$7+$P24*S$7+$O22*$M22*1.5*2*S$7)/(S$7*14),0),S23)</f>
        <v>0</v>
      </c>
      <c r="T22" s="89">
        <f t="shared" si="16"/>
        <v>0</v>
      </c>
      <c r="U22" s="89">
        <f t="shared" si="16"/>
        <v>0</v>
      </c>
      <c r="V22" s="89">
        <f t="shared" si="16"/>
        <v>0</v>
      </c>
      <c r="W22" s="89">
        <f t="shared" si="16"/>
        <v>0</v>
      </c>
      <c r="X22" s="89">
        <f t="shared" si="16"/>
        <v>0</v>
      </c>
      <c r="Y22" s="89">
        <f t="shared" si="16"/>
        <v>0</v>
      </c>
      <c r="Z22" s="89">
        <f t="shared" si="16"/>
        <v>0</v>
      </c>
      <c r="AA22" s="89">
        <f t="shared" si="16"/>
        <v>0</v>
      </c>
      <c r="AB22" s="89">
        <f t="shared" si="16"/>
        <v>0</v>
      </c>
      <c r="AC22" s="89">
        <f t="shared" si="16"/>
        <v>0</v>
      </c>
      <c r="AD22" s="89">
        <f t="shared" si="16"/>
        <v>0</v>
      </c>
      <c r="AE22" s="90">
        <f>SUM(S22:AD22)</f>
        <v>0</v>
      </c>
      <c r="AZ22" s="20"/>
    </row>
    <row r="23" spans="1:61" ht="13" hidden="1">
      <c r="A23" s="1" t="str">
        <f>A22</f>
        <v>Uncheck to Hide</v>
      </c>
      <c r="B23" s="92"/>
      <c r="C23" s="93"/>
      <c r="D23" s="93"/>
      <c r="E23" s="93"/>
      <c r="F23" s="93"/>
      <c r="G23" s="93"/>
      <c r="H23" s="93"/>
      <c r="I23" s="93"/>
      <c r="J23" s="93"/>
      <c r="K23" s="93"/>
      <c r="L23" s="93"/>
      <c r="M23" s="93"/>
      <c r="N23" s="93"/>
      <c r="O23" s="93"/>
      <c r="P23" s="93"/>
      <c r="Q23" s="93"/>
      <c r="R23" s="93"/>
      <c r="S23" s="94"/>
      <c r="T23" s="94"/>
      <c r="U23" s="94"/>
      <c r="V23" s="94"/>
      <c r="W23" s="94"/>
      <c r="X23" s="94"/>
      <c r="Y23" s="94"/>
      <c r="Z23" s="94"/>
      <c r="AA23" s="94"/>
      <c r="AB23" s="94"/>
      <c r="AC23" s="94"/>
      <c r="AD23" s="94"/>
      <c r="AE23" s="93"/>
      <c r="AZ23" s="20"/>
    </row>
    <row r="24" spans="1:61" s="105" customFormat="1" ht="13" hidden="1">
      <c r="A24" s="96" t="s">
        <v>113</v>
      </c>
      <c r="B24" s="97"/>
      <c r="C24" s="98"/>
      <c r="D24" s="99"/>
      <c r="E24" s="99"/>
      <c r="F24" s="99"/>
      <c r="G24" s="100"/>
      <c r="H24" s="100"/>
      <c r="I24" s="100"/>
      <c r="J24" s="100"/>
      <c r="K24" s="100"/>
      <c r="L24" s="100"/>
      <c r="M24" s="101"/>
      <c r="N24" s="102"/>
      <c r="O24" s="102"/>
      <c r="P24" s="103">
        <f>+M22*N22*R22/AE$7</f>
        <v>0</v>
      </c>
      <c r="Q24" s="104"/>
      <c r="S24" s="106">
        <f t="shared" ref="S24:AD24" si="17">IF(S23&gt;0,S23-$P24*S$7,+S22-$P24*S$7)</f>
        <v>0</v>
      </c>
      <c r="T24" s="106">
        <f t="shared" si="17"/>
        <v>0</v>
      </c>
      <c r="U24" s="106">
        <f t="shared" si="17"/>
        <v>0</v>
      </c>
      <c r="V24" s="106">
        <f t="shared" si="17"/>
        <v>0</v>
      </c>
      <c r="W24" s="106">
        <f t="shared" si="17"/>
        <v>0</v>
      </c>
      <c r="X24" s="106">
        <f t="shared" si="17"/>
        <v>0</v>
      </c>
      <c r="Y24" s="106">
        <f t="shared" si="17"/>
        <v>0</v>
      </c>
      <c r="Z24" s="106">
        <f t="shared" si="17"/>
        <v>0</v>
      </c>
      <c r="AA24" s="106">
        <f t="shared" si="17"/>
        <v>0</v>
      </c>
      <c r="AB24" s="106">
        <f t="shared" si="17"/>
        <v>0</v>
      </c>
      <c r="AC24" s="106">
        <f t="shared" si="17"/>
        <v>0</v>
      </c>
      <c r="AD24" s="106">
        <f t="shared" si="17"/>
        <v>0</v>
      </c>
      <c r="AE24" s="107"/>
      <c r="AP24" s="108"/>
      <c r="AQ24" s="109"/>
      <c r="AR24" s="109"/>
      <c r="AS24" s="108"/>
      <c r="AZ24" s="20"/>
      <c r="BA24" s="2"/>
      <c r="BB24" s="2"/>
      <c r="BC24" s="2"/>
      <c r="BD24" s="2"/>
      <c r="BE24" s="2"/>
      <c r="BF24" s="2"/>
      <c r="BG24" s="2"/>
      <c r="BH24" s="2"/>
      <c r="BI24" s="2"/>
    </row>
    <row r="25" spans="1:61" s="105" customFormat="1" ht="13" hidden="1">
      <c r="A25" s="96" t="s">
        <v>113</v>
      </c>
      <c r="B25" s="97"/>
      <c r="C25" s="98"/>
      <c r="D25" s="99"/>
      <c r="E25" s="99"/>
      <c r="F25" s="99"/>
      <c r="G25" s="100"/>
      <c r="H25" s="100"/>
      <c r="I25" s="100"/>
      <c r="J25" s="100"/>
      <c r="K25" s="100"/>
      <c r="L25" s="100"/>
      <c r="M25" s="101"/>
      <c r="N25" s="102"/>
      <c r="O25" s="102"/>
      <c r="P25" s="99"/>
      <c r="Q25" s="104"/>
      <c r="R25" s="104"/>
      <c r="S25" s="110">
        <f>+S24</f>
        <v>0</v>
      </c>
      <c r="T25" s="110">
        <f t="shared" ref="T25:AD25" si="18">+T24+S25</f>
        <v>0</v>
      </c>
      <c r="U25" s="110">
        <f t="shared" si="18"/>
        <v>0</v>
      </c>
      <c r="V25" s="110">
        <f t="shared" si="18"/>
        <v>0</v>
      </c>
      <c r="W25" s="110">
        <f t="shared" si="18"/>
        <v>0</v>
      </c>
      <c r="X25" s="110">
        <f t="shared" si="18"/>
        <v>0</v>
      </c>
      <c r="Y25" s="110">
        <f t="shared" si="18"/>
        <v>0</v>
      </c>
      <c r="Z25" s="110">
        <f t="shared" si="18"/>
        <v>0</v>
      </c>
      <c r="AA25" s="110">
        <f t="shared" si="18"/>
        <v>0</v>
      </c>
      <c r="AB25" s="110">
        <f t="shared" si="18"/>
        <v>0</v>
      </c>
      <c r="AC25" s="110">
        <f t="shared" si="18"/>
        <v>0</v>
      </c>
      <c r="AD25" s="110">
        <f t="shared" si="18"/>
        <v>0</v>
      </c>
      <c r="AE25" s="107"/>
      <c r="AP25" s="109"/>
      <c r="AQ25" s="109"/>
      <c r="AR25" s="109"/>
      <c r="AS25" s="109"/>
      <c r="AZ25" s="20"/>
      <c r="BA25" s="2"/>
      <c r="BB25" s="2"/>
      <c r="BC25" s="2"/>
      <c r="BD25" s="2"/>
      <c r="BE25" s="2"/>
      <c r="BF25" s="2"/>
      <c r="BG25" s="2"/>
      <c r="BH25" s="2"/>
      <c r="BI25" s="2"/>
    </row>
    <row r="26" spans="1:61" ht="13" hidden="1">
      <c r="A26" s="1" t="str">
        <f>A23</f>
        <v>Uncheck to Hide</v>
      </c>
      <c r="B26" s="128"/>
      <c r="C26" s="112" t="s">
        <v>38</v>
      </c>
      <c r="D26" s="119"/>
      <c r="E26" s="120"/>
      <c r="F26" s="120"/>
      <c r="G26" s="120"/>
      <c r="H26" s="120"/>
      <c r="I26" s="120"/>
      <c r="J26" s="120"/>
      <c r="K26" s="120"/>
      <c r="L26" s="120"/>
      <c r="M26" s="120"/>
      <c r="N26" s="120"/>
      <c r="O26" s="120"/>
      <c r="P26" s="120"/>
      <c r="Q26" s="120"/>
      <c r="R26" s="120"/>
      <c r="S26" s="114">
        <f t="shared" ref="S26:AD26" si="19">IF($E$9="CA",IF(R25&lt;7000,$E$5*S24,($E$5-0.043)*S24),IF($E$9="IL",IF(R25&lt;12960,$E$5*S24,($E$5-0.04125)*S24),IF($E$9="PA",IF(R25&lt;10000,$E$5*S24,($E$5-0.071)*S24),IF($E$9="TX",IF(R25&lt;9000,$E$5*S24,($E$5-0.0363)*S24),$E$5*S24))))</f>
        <v>0</v>
      </c>
      <c r="T26" s="114">
        <f t="shared" si="19"/>
        <v>0</v>
      </c>
      <c r="U26" s="114">
        <f t="shared" si="19"/>
        <v>0</v>
      </c>
      <c r="V26" s="114">
        <f t="shared" si="19"/>
        <v>0</v>
      </c>
      <c r="W26" s="114">
        <f t="shared" si="19"/>
        <v>0</v>
      </c>
      <c r="X26" s="114">
        <f t="shared" si="19"/>
        <v>0</v>
      </c>
      <c r="Y26" s="114">
        <f t="shared" si="19"/>
        <v>0</v>
      </c>
      <c r="Z26" s="114">
        <f t="shared" si="19"/>
        <v>0</v>
      </c>
      <c r="AA26" s="114">
        <f t="shared" si="19"/>
        <v>0</v>
      </c>
      <c r="AB26" s="114">
        <f t="shared" si="19"/>
        <v>0</v>
      </c>
      <c r="AC26" s="114">
        <f t="shared" si="19"/>
        <v>0</v>
      </c>
      <c r="AD26" s="114">
        <f t="shared" si="19"/>
        <v>0</v>
      </c>
      <c r="AE26" s="115"/>
      <c r="AP26" s="116"/>
      <c r="AS26" s="116"/>
      <c r="AZ26" s="20"/>
    </row>
    <row r="27" spans="1:61" ht="13" hidden="1">
      <c r="A27" s="1" t="str">
        <f>A26</f>
        <v>Uncheck to Hide</v>
      </c>
      <c r="B27" s="128"/>
      <c r="C27" s="112" t="s">
        <v>114</v>
      </c>
      <c r="D27" s="119"/>
      <c r="E27" s="120"/>
      <c r="F27" s="120"/>
      <c r="G27" s="120"/>
      <c r="H27" s="120"/>
      <c r="I27" s="120"/>
      <c r="J27" s="120"/>
      <c r="K27" s="120"/>
      <c r="L27" s="120"/>
      <c r="M27" s="120"/>
      <c r="N27" s="120"/>
      <c r="O27" s="120"/>
      <c r="P27" s="120"/>
      <c r="Q27" s="120"/>
      <c r="R27" s="120"/>
      <c r="S27" s="117">
        <f t="shared" ref="S27:AD27" si="20">IF($E$9="WA",IF(S$1&lt;$G$6,$E$6*$N22*2*S$7+$CA$5*S24,$F$6*$N22*2*S$7+$CA$5*S24),IF($E$9="NV",IF(R25&gt;36000,0,IF(S$1&lt;$G$6,$E$6*S24,$F$6*S24)),IF(S$1&lt;$G$6,$E$6*S24,$F$6*S24)))</f>
        <v>0</v>
      </c>
      <c r="T27" s="117">
        <f t="shared" si="20"/>
        <v>0</v>
      </c>
      <c r="U27" s="117">
        <f t="shared" si="20"/>
        <v>0</v>
      </c>
      <c r="V27" s="117">
        <f t="shared" si="20"/>
        <v>0</v>
      </c>
      <c r="W27" s="117">
        <f t="shared" si="20"/>
        <v>0</v>
      </c>
      <c r="X27" s="117">
        <f t="shared" si="20"/>
        <v>0</v>
      </c>
      <c r="Y27" s="117">
        <f t="shared" si="20"/>
        <v>0</v>
      </c>
      <c r="Z27" s="117">
        <f t="shared" si="20"/>
        <v>0</v>
      </c>
      <c r="AA27" s="117">
        <f t="shared" si="20"/>
        <v>0</v>
      </c>
      <c r="AB27" s="117">
        <f t="shared" si="20"/>
        <v>0</v>
      </c>
      <c r="AC27" s="117">
        <f t="shared" si="20"/>
        <v>0</v>
      </c>
      <c r="AD27" s="117">
        <f t="shared" si="20"/>
        <v>0</v>
      </c>
      <c r="AE27" s="115"/>
      <c r="AZ27" s="20"/>
    </row>
    <row r="28" spans="1:61" ht="13" hidden="1">
      <c r="A28" s="1" t="str">
        <f>A27</f>
        <v>Uncheck to Hide</v>
      </c>
      <c r="B28" s="111"/>
      <c r="C28" s="118" t="s">
        <v>86</v>
      </c>
      <c r="D28" s="113"/>
      <c r="E28" s="113"/>
      <c r="F28" s="113"/>
      <c r="G28" s="113"/>
      <c r="H28" s="113"/>
      <c r="I28" s="113"/>
      <c r="J28" s="113"/>
      <c r="K28" s="113"/>
      <c r="L28" s="113"/>
      <c r="M28" s="113"/>
      <c r="N28" s="113"/>
      <c r="O28" s="113"/>
      <c r="P28" s="113"/>
      <c r="Q28" s="113"/>
      <c r="R28" s="113"/>
      <c r="S28" s="117">
        <f t="shared" ref="S28:AD28" si="21">IF(S22=0,0,$H$11/26*S$7*IF(OR($G22=0,$G22=1),1,$G22))</f>
        <v>0</v>
      </c>
      <c r="T28" s="117">
        <f t="shared" si="21"/>
        <v>0</v>
      </c>
      <c r="U28" s="117">
        <f t="shared" si="21"/>
        <v>0</v>
      </c>
      <c r="V28" s="117">
        <f t="shared" si="21"/>
        <v>0</v>
      </c>
      <c r="W28" s="117">
        <f t="shared" si="21"/>
        <v>0</v>
      </c>
      <c r="X28" s="117">
        <f t="shared" si="21"/>
        <v>0</v>
      </c>
      <c r="Y28" s="117">
        <f t="shared" si="21"/>
        <v>0</v>
      </c>
      <c r="Z28" s="117">
        <f t="shared" si="21"/>
        <v>0</v>
      </c>
      <c r="AA28" s="117">
        <f t="shared" si="21"/>
        <v>0</v>
      </c>
      <c r="AB28" s="117">
        <f t="shared" si="21"/>
        <v>0</v>
      </c>
      <c r="AC28" s="117">
        <f t="shared" si="21"/>
        <v>0</v>
      </c>
      <c r="AD28" s="117">
        <f t="shared" si="21"/>
        <v>0</v>
      </c>
      <c r="AE28" s="115"/>
      <c r="AZ28" s="20"/>
    </row>
    <row r="29" spans="1:61" ht="13" hidden="1">
      <c r="A29" s="1" t="str">
        <f>A27</f>
        <v>Uncheck to Hide</v>
      </c>
      <c r="B29" s="128"/>
      <c r="C29" s="118" t="str">
        <f>IF($E$9="CA","",$C$269)</f>
        <v>HEALTH INS. &amp; EMPL. BENEFITS</v>
      </c>
      <c r="D29" s="119"/>
      <c r="E29" s="120"/>
      <c r="F29" s="120"/>
      <c r="G29" s="120"/>
      <c r="H29" s="120"/>
      <c r="I29" s="120"/>
      <c r="J29" s="120"/>
      <c r="K29" s="120"/>
      <c r="L29" s="120"/>
      <c r="M29" s="120"/>
      <c r="N29" s="120"/>
      <c r="O29" s="120"/>
      <c r="P29" s="120"/>
      <c r="Q29" s="120"/>
      <c r="R29" s="120"/>
      <c r="S29" s="121">
        <f t="shared" ref="S29:AD29" si="22">IF(OR($E$9="CA",$E$9="CO",$E$9="OR",$E$9="WA"),0,IF($G22=0,0,$G22*$E$7*S$8/2+S24*$CC$6))</f>
        <v>0</v>
      </c>
      <c r="T29" s="121">
        <f t="shared" si="22"/>
        <v>0</v>
      </c>
      <c r="U29" s="121">
        <f t="shared" si="22"/>
        <v>0</v>
      </c>
      <c r="V29" s="121">
        <f t="shared" si="22"/>
        <v>0</v>
      </c>
      <c r="W29" s="121">
        <f t="shared" si="22"/>
        <v>0</v>
      </c>
      <c r="X29" s="121">
        <f t="shared" si="22"/>
        <v>0</v>
      </c>
      <c r="Y29" s="121">
        <f t="shared" si="22"/>
        <v>0</v>
      </c>
      <c r="Z29" s="121">
        <f t="shared" si="22"/>
        <v>0</v>
      </c>
      <c r="AA29" s="121">
        <f t="shared" si="22"/>
        <v>0</v>
      </c>
      <c r="AB29" s="121">
        <f t="shared" si="22"/>
        <v>0</v>
      </c>
      <c r="AC29" s="121">
        <f t="shared" si="22"/>
        <v>0</v>
      </c>
      <c r="AD29" s="121">
        <f t="shared" si="22"/>
        <v>0</v>
      </c>
      <c r="AE29" s="115"/>
      <c r="AZ29" s="20"/>
    </row>
    <row r="30" spans="1:61">
      <c r="A30" s="1" t="str">
        <f>IF(F30+G30+H30+M30=0,"Uncheck to Hide","")</f>
        <v/>
      </c>
      <c r="B30" s="74" t="s">
        <v>116</v>
      </c>
      <c r="C30" s="75" t="s">
        <v>117</v>
      </c>
      <c r="D30" s="76" t="s">
        <v>118</v>
      </c>
      <c r="E30" s="77"/>
      <c r="F30" s="78">
        <v>1</v>
      </c>
      <c r="G30" s="125">
        <v>1</v>
      </c>
      <c r="H30" s="80"/>
      <c r="I30" s="80">
        <v>25</v>
      </c>
      <c r="J30" s="81">
        <v>45490</v>
      </c>
      <c r="K30" s="82">
        <v>31.25</v>
      </c>
      <c r="L30" s="83">
        <v>0.03</v>
      </c>
      <c r="M30" s="84">
        <f>ROUND(K30*(1+L30),2)</f>
        <v>32.19</v>
      </c>
      <c r="N30" s="85">
        <v>40</v>
      </c>
      <c r="O30" s="85"/>
      <c r="P30" s="86">
        <f>IF(SUM(S31:AD31)&gt;0,1,0)</f>
        <v>0</v>
      </c>
      <c r="Q30" s="87">
        <f>M30*N30*52</f>
        <v>66955.199999999997</v>
      </c>
      <c r="R30" s="88"/>
      <c r="S30" s="89">
        <f t="shared" ref="S30:AD30" si="23">IF(S31="",$M30*$N30*2*S$7+$P32*S$7+$O30*$M30*1.5*2*S$7+IF($O$10="Y",(SUMIF($CS$3:$DT$3,S$1,$CS$8:$DT$8)-SUMIF($CS$3:$DT$3,R$1,$CS$8:$DT$8))*($M30*$N30*2*S$7+$P32*S$7+$O30*$M30*1.5*2*S$7)/(S$7*14),0)+IF($O$11="Y",(SUMIF($CS$3:$DT$3,S$1,$CS$8:$DT$8)*CU$11-SUMIF($CS$3:$DT$3,R$1,$CS$8:$DT$8)*CT$11)*($M30*$N30*2*S$7+$P32*S$7+$O30*$M30*1.5*2*S$7)/(S$7*14),0),S31)</f>
        <v>5150.3999999999996</v>
      </c>
      <c r="T30" s="89">
        <f t="shared" si="23"/>
        <v>5150.3999999999996</v>
      </c>
      <c r="U30" s="89">
        <f t="shared" si="23"/>
        <v>5150.3999999999996</v>
      </c>
      <c r="V30" s="89">
        <f t="shared" si="23"/>
        <v>5150.3999999999996</v>
      </c>
      <c r="W30" s="89">
        <f t="shared" si="23"/>
        <v>5150.3999999999996</v>
      </c>
      <c r="X30" s="89">
        <f t="shared" si="23"/>
        <v>5150.3999999999996</v>
      </c>
      <c r="Y30" s="89">
        <f t="shared" si="23"/>
        <v>7725.5999999999995</v>
      </c>
      <c r="Z30" s="89">
        <f t="shared" si="23"/>
        <v>5150.3999999999996</v>
      </c>
      <c r="AA30" s="89">
        <f t="shared" si="23"/>
        <v>5150.3999999999996</v>
      </c>
      <c r="AB30" s="89">
        <f t="shared" si="23"/>
        <v>5150.3999999999996</v>
      </c>
      <c r="AC30" s="89">
        <f t="shared" si="23"/>
        <v>5150.3999999999996</v>
      </c>
      <c r="AD30" s="89">
        <f t="shared" si="23"/>
        <v>7725.5999999999995</v>
      </c>
      <c r="AE30" s="90">
        <f>SUM(S30:AD30)</f>
        <v>66955.200000000012</v>
      </c>
      <c r="AG30" s="95"/>
    </row>
    <row r="31" spans="1:61">
      <c r="A31" s="1" t="str">
        <f>A30</f>
        <v/>
      </c>
      <c r="B31" s="92"/>
      <c r="C31" s="93"/>
      <c r="D31" s="93"/>
      <c r="E31" s="93"/>
      <c r="F31" s="93"/>
      <c r="G31" s="93"/>
      <c r="H31" s="93"/>
      <c r="I31" s="93"/>
      <c r="J31" s="93"/>
      <c r="K31" s="93"/>
      <c r="L31" s="93"/>
      <c r="M31" s="93"/>
      <c r="N31" s="93"/>
      <c r="O31" s="93"/>
      <c r="P31" s="93"/>
      <c r="Q31" s="93"/>
      <c r="R31" s="93"/>
      <c r="S31" s="94"/>
      <c r="T31" s="94"/>
      <c r="U31" s="94"/>
      <c r="V31" s="94"/>
      <c r="W31" s="94"/>
      <c r="X31" s="94"/>
      <c r="Y31" s="94"/>
      <c r="Z31" s="94"/>
      <c r="AA31" s="94"/>
      <c r="AB31" s="94"/>
      <c r="AC31" s="94"/>
      <c r="AD31" s="94"/>
      <c r="AE31" s="93"/>
      <c r="AG31" s="95"/>
    </row>
    <row r="32" spans="1:61" s="105" customFormat="1" ht="12.75" hidden="1" customHeight="1">
      <c r="A32" s="96" t="s">
        <v>113</v>
      </c>
      <c r="B32" s="97"/>
      <c r="C32" s="98"/>
      <c r="D32" s="99"/>
      <c r="E32" s="99"/>
      <c r="F32" s="99"/>
      <c r="G32" s="100"/>
      <c r="H32" s="100"/>
      <c r="I32" s="100"/>
      <c r="J32" s="100"/>
      <c r="K32" s="100"/>
      <c r="L32" s="100"/>
      <c r="M32" s="101"/>
      <c r="N32" s="102"/>
      <c r="O32" s="102"/>
      <c r="P32" s="103">
        <f>+M30*N30*R30/AE$7</f>
        <v>0</v>
      </c>
      <c r="Q32" s="104"/>
      <c r="S32" s="106">
        <f t="shared" ref="S32:AD32" si="24">IF(S31&gt;0,S31-$P32*S$7,+S30-$P32*S$7)</f>
        <v>5150.3999999999996</v>
      </c>
      <c r="T32" s="106">
        <f t="shared" si="24"/>
        <v>5150.3999999999996</v>
      </c>
      <c r="U32" s="106">
        <f t="shared" si="24"/>
        <v>5150.3999999999996</v>
      </c>
      <c r="V32" s="106">
        <f t="shared" si="24"/>
        <v>5150.3999999999996</v>
      </c>
      <c r="W32" s="106">
        <f t="shared" si="24"/>
        <v>5150.3999999999996</v>
      </c>
      <c r="X32" s="106">
        <f t="shared" si="24"/>
        <v>5150.3999999999996</v>
      </c>
      <c r="Y32" s="106">
        <f t="shared" si="24"/>
        <v>7725.5999999999995</v>
      </c>
      <c r="Z32" s="106">
        <f t="shared" si="24"/>
        <v>5150.3999999999996</v>
      </c>
      <c r="AA32" s="106">
        <f t="shared" si="24"/>
        <v>5150.3999999999996</v>
      </c>
      <c r="AB32" s="106">
        <f t="shared" si="24"/>
        <v>5150.3999999999996</v>
      </c>
      <c r="AC32" s="106">
        <f t="shared" si="24"/>
        <v>5150.3999999999996</v>
      </c>
      <c r="AD32" s="106">
        <f t="shared" si="24"/>
        <v>7725.5999999999995</v>
      </c>
      <c r="AE32" s="107"/>
      <c r="AG32" s="58"/>
      <c r="AP32" s="108"/>
      <c r="AQ32" s="109"/>
      <c r="AR32" s="109"/>
      <c r="AS32" s="108"/>
    </row>
    <row r="33" spans="1:52" s="105" customFormat="1" ht="12.75" hidden="1" customHeight="1">
      <c r="A33" s="96" t="s">
        <v>113</v>
      </c>
      <c r="B33" s="97"/>
      <c r="C33" s="98"/>
      <c r="D33" s="99"/>
      <c r="E33" s="99"/>
      <c r="F33" s="99"/>
      <c r="G33" s="100"/>
      <c r="H33" s="100"/>
      <c r="I33" s="100"/>
      <c r="J33" s="100"/>
      <c r="K33" s="100"/>
      <c r="L33" s="100"/>
      <c r="M33" s="101"/>
      <c r="N33" s="102"/>
      <c r="O33" s="102"/>
      <c r="P33" s="99"/>
      <c r="Q33" s="104"/>
      <c r="R33" s="104"/>
      <c r="S33" s="110">
        <f>+S32</f>
        <v>5150.3999999999996</v>
      </c>
      <c r="T33" s="110">
        <f t="shared" ref="T33:AD33" si="25">+T32+S33</f>
        <v>10300.799999999999</v>
      </c>
      <c r="U33" s="110">
        <f t="shared" si="25"/>
        <v>15451.199999999999</v>
      </c>
      <c r="V33" s="110">
        <f t="shared" si="25"/>
        <v>20601.599999999999</v>
      </c>
      <c r="W33" s="110">
        <f t="shared" si="25"/>
        <v>25752</v>
      </c>
      <c r="X33" s="110">
        <f t="shared" si="25"/>
        <v>30902.400000000001</v>
      </c>
      <c r="Y33" s="110">
        <f t="shared" si="25"/>
        <v>38628</v>
      </c>
      <c r="Z33" s="110">
        <f t="shared" si="25"/>
        <v>43778.400000000001</v>
      </c>
      <c r="AA33" s="110">
        <f t="shared" si="25"/>
        <v>48928.800000000003</v>
      </c>
      <c r="AB33" s="110">
        <f t="shared" si="25"/>
        <v>54079.200000000004</v>
      </c>
      <c r="AC33" s="110">
        <f t="shared" si="25"/>
        <v>59229.600000000006</v>
      </c>
      <c r="AD33" s="110">
        <f t="shared" si="25"/>
        <v>66955.200000000012</v>
      </c>
      <c r="AE33" s="107"/>
      <c r="AG33" s="58"/>
      <c r="AP33" s="109"/>
      <c r="AQ33" s="109"/>
      <c r="AR33" s="109"/>
      <c r="AS33" s="109"/>
    </row>
    <row r="34" spans="1:52">
      <c r="A34" s="1" t="str">
        <f>A31</f>
        <v/>
      </c>
      <c r="B34" s="128"/>
      <c r="C34" s="112" t="s">
        <v>38</v>
      </c>
      <c r="D34" s="119"/>
      <c r="E34" s="120"/>
      <c r="F34" s="120"/>
      <c r="G34" s="120"/>
      <c r="H34" s="120"/>
      <c r="I34" s="120"/>
      <c r="J34" s="120"/>
      <c r="K34" s="120"/>
      <c r="L34" s="120"/>
      <c r="M34" s="120"/>
      <c r="N34" s="120"/>
      <c r="O34" s="120"/>
      <c r="P34" s="120"/>
      <c r="Q34" s="120"/>
      <c r="R34" s="120"/>
      <c r="S34" s="114">
        <f t="shared" ref="S34:AD34" si="26">IF($E$9="CA",IF(R33&lt;7000,$E$5*S32,($E$5-0.043)*S32),IF($E$9="IL",IF(R33&lt;12960,$E$5*S32,($E$5-0.04125)*S32),IF($E$9="PA",IF(R33&lt;10000,$E$5*S32,($E$5-0.071)*S32),IF($E$9="TX",IF(R33&lt;9000,$E$5*S32,($E$5-0.0363)*S32),$E$5*S32))))</f>
        <v>580.52218559999994</v>
      </c>
      <c r="T34" s="114">
        <f t="shared" si="26"/>
        <v>580.52218559999994</v>
      </c>
      <c r="U34" s="114">
        <f t="shared" si="26"/>
        <v>580.52218559999994</v>
      </c>
      <c r="V34" s="114">
        <f t="shared" si="26"/>
        <v>580.52218559999994</v>
      </c>
      <c r="W34" s="114">
        <f t="shared" si="26"/>
        <v>580.52218559999994</v>
      </c>
      <c r="X34" s="114">
        <f t="shared" si="26"/>
        <v>580.52218559999994</v>
      </c>
      <c r="Y34" s="114">
        <f t="shared" si="26"/>
        <v>870.78327839999986</v>
      </c>
      <c r="Z34" s="114">
        <f t="shared" si="26"/>
        <v>580.52218559999994</v>
      </c>
      <c r="AA34" s="114">
        <f t="shared" si="26"/>
        <v>580.52218559999994</v>
      </c>
      <c r="AB34" s="114">
        <f t="shared" si="26"/>
        <v>580.52218559999994</v>
      </c>
      <c r="AC34" s="114">
        <f t="shared" si="26"/>
        <v>580.52218559999994</v>
      </c>
      <c r="AD34" s="114">
        <f t="shared" si="26"/>
        <v>870.78327839999986</v>
      </c>
      <c r="AE34" s="115"/>
      <c r="AG34" s="69"/>
      <c r="AP34" s="116"/>
      <c r="AS34" s="116"/>
    </row>
    <row r="35" spans="1:52">
      <c r="A35" s="1" t="str">
        <f>A34</f>
        <v/>
      </c>
      <c r="B35" s="128"/>
      <c r="C35" s="112" t="s">
        <v>114</v>
      </c>
      <c r="D35" s="119"/>
      <c r="E35" s="120"/>
      <c r="F35" s="120"/>
      <c r="G35" s="120"/>
      <c r="H35" s="120"/>
      <c r="I35" s="120"/>
      <c r="J35" s="120"/>
      <c r="K35" s="120"/>
      <c r="L35" s="120"/>
      <c r="M35" s="120"/>
      <c r="N35" s="120"/>
      <c r="O35" s="120"/>
      <c r="P35" s="120"/>
      <c r="Q35" s="120"/>
      <c r="R35" s="120"/>
      <c r="S35" s="117">
        <f t="shared" ref="S35:AD35" si="27">IF($E$9="WA",IF(S$1&lt;$G$6,$E$6*$N30*2*S$7+$CA$5*S32,$F$6*$N30*2*S$7+$CA$5*S32),IF($E$9="NV",IF(R33&gt;36000,0,IF(S$1&lt;$G$6,$E$6*S32,$F$6*S32)),IF(S$1&lt;$G$6,$E$6*S32,$F$6*S32)))</f>
        <v>231.98399999999998</v>
      </c>
      <c r="T35" s="117">
        <f t="shared" si="27"/>
        <v>231.98399999999998</v>
      </c>
      <c r="U35" s="117">
        <f t="shared" si="27"/>
        <v>231.98399999999998</v>
      </c>
      <c r="V35" s="117">
        <f t="shared" si="27"/>
        <v>231.98399999999998</v>
      </c>
      <c r="W35" s="117">
        <f t="shared" si="27"/>
        <v>231.98399999999998</v>
      </c>
      <c r="X35" s="117">
        <f t="shared" si="27"/>
        <v>231.98399999999998</v>
      </c>
      <c r="Y35" s="117">
        <f t="shared" si="27"/>
        <v>347.976</v>
      </c>
      <c r="Z35" s="117">
        <f t="shared" si="27"/>
        <v>231.98399999999998</v>
      </c>
      <c r="AA35" s="117">
        <f t="shared" si="27"/>
        <v>231.98399999999998</v>
      </c>
      <c r="AB35" s="117">
        <f t="shared" si="27"/>
        <v>231.98399999999998</v>
      </c>
      <c r="AC35" s="117">
        <f t="shared" si="27"/>
        <v>231.98399999999998</v>
      </c>
      <c r="AD35" s="117">
        <f t="shared" si="27"/>
        <v>347.976</v>
      </c>
      <c r="AE35" s="115"/>
    </row>
    <row r="36" spans="1:52" ht="13">
      <c r="A36" s="1" t="str">
        <f>A35</f>
        <v/>
      </c>
      <c r="B36" s="111"/>
      <c r="C36" s="118" t="s">
        <v>86</v>
      </c>
      <c r="D36" s="113"/>
      <c r="E36" s="113"/>
      <c r="F36" s="113"/>
      <c r="G36" s="113"/>
      <c r="H36" s="113"/>
      <c r="I36" s="113"/>
      <c r="J36" s="113"/>
      <c r="K36" s="113"/>
      <c r="L36" s="113"/>
      <c r="M36" s="113"/>
      <c r="N36" s="113"/>
      <c r="O36" s="113"/>
      <c r="P36" s="113"/>
      <c r="Q36" s="113"/>
      <c r="R36" s="113"/>
      <c r="S36" s="117">
        <f t="shared" ref="S36:AD36" si="28">IF(S30=0,0,$H$11/26*S$7*IF(OR($G30=0,$G30=1),1,$G30))</f>
        <v>76.92307692307692</v>
      </c>
      <c r="T36" s="117">
        <f t="shared" si="28"/>
        <v>76.92307692307692</v>
      </c>
      <c r="U36" s="117">
        <f t="shared" si="28"/>
        <v>76.92307692307692</v>
      </c>
      <c r="V36" s="117">
        <f t="shared" si="28"/>
        <v>76.92307692307692</v>
      </c>
      <c r="W36" s="117">
        <f t="shared" si="28"/>
        <v>76.92307692307692</v>
      </c>
      <c r="X36" s="117">
        <f t="shared" si="28"/>
        <v>76.92307692307692</v>
      </c>
      <c r="Y36" s="117">
        <f t="shared" si="28"/>
        <v>115.38461538461539</v>
      </c>
      <c r="Z36" s="117">
        <f t="shared" si="28"/>
        <v>76.92307692307692</v>
      </c>
      <c r="AA36" s="117">
        <f t="shared" si="28"/>
        <v>76.92307692307692</v>
      </c>
      <c r="AB36" s="117">
        <f t="shared" si="28"/>
        <v>76.92307692307692</v>
      </c>
      <c r="AC36" s="117">
        <f t="shared" si="28"/>
        <v>76.92307692307692</v>
      </c>
      <c r="AD36" s="117">
        <f t="shared" si="28"/>
        <v>115.38461538461539</v>
      </c>
      <c r="AE36" s="115"/>
      <c r="AZ36" s="20"/>
    </row>
    <row r="37" spans="1:52">
      <c r="A37" s="1" t="str">
        <f>A35</f>
        <v/>
      </c>
      <c r="B37" s="128"/>
      <c r="C37" s="118" t="str">
        <f>IF($E$9="CA","",$C$269)</f>
        <v>HEALTH INS. &amp; EMPL. BENEFITS</v>
      </c>
      <c r="D37" s="119"/>
      <c r="E37" s="120"/>
      <c r="F37" s="120"/>
      <c r="G37" s="120"/>
      <c r="H37" s="120"/>
      <c r="I37" s="120"/>
      <c r="J37" s="120"/>
      <c r="K37" s="120"/>
      <c r="L37" s="120"/>
      <c r="M37" s="120"/>
      <c r="N37" s="120"/>
      <c r="O37" s="120"/>
      <c r="P37" s="120"/>
      <c r="Q37" s="120"/>
      <c r="R37" s="120"/>
      <c r="S37" s="121">
        <f t="shared" ref="S37:AD37" si="29">IF(OR($E$9="CA",$E$9="CO",$E$9="OR",$E$9="WA"),0,IF($G30=0,0,$G30*$E$7*S$8/2+S32*$CC$6))</f>
        <v>0</v>
      </c>
      <c r="T37" s="121">
        <f t="shared" si="29"/>
        <v>0</v>
      </c>
      <c r="U37" s="121">
        <f t="shared" si="29"/>
        <v>0</v>
      </c>
      <c r="V37" s="121">
        <f t="shared" si="29"/>
        <v>0</v>
      </c>
      <c r="W37" s="121">
        <f t="shared" si="29"/>
        <v>0</v>
      </c>
      <c r="X37" s="121">
        <f t="shared" si="29"/>
        <v>0</v>
      </c>
      <c r="Y37" s="121">
        <f t="shared" si="29"/>
        <v>0</v>
      </c>
      <c r="Z37" s="121">
        <f t="shared" si="29"/>
        <v>0</v>
      </c>
      <c r="AA37" s="121">
        <f t="shared" si="29"/>
        <v>0</v>
      </c>
      <c r="AB37" s="121">
        <f t="shared" si="29"/>
        <v>0</v>
      </c>
      <c r="AC37" s="121">
        <f t="shared" si="29"/>
        <v>0</v>
      </c>
      <c r="AD37" s="121">
        <f t="shared" si="29"/>
        <v>0</v>
      </c>
      <c r="AE37" s="115"/>
    </row>
    <row r="38" spans="1:52" hidden="1">
      <c r="A38" s="1" t="str">
        <f>IF(F38+G38+H38+M38=0,"Uncheck to Hide","")</f>
        <v>Uncheck to Hide</v>
      </c>
      <c r="B38" s="74" t="str">
        <f>B30</f>
        <v>6330-100  ASST MANAGER SALARY</v>
      </c>
      <c r="C38" s="75" t="s">
        <v>119</v>
      </c>
      <c r="D38" s="76"/>
      <c r="E38" s="77"/>
      <c r="F38" s="78"/>
      <c r="G38" s="125"/>
      <c r="H38" s="80"/>
      <c r="I38" s="80">
        <v>25</v>
      </c>
      <c r="J38" s="81"/>
      <c r="K38" s="82"/>
      <c r="L38" s="83"/>
      <c r="M38" s="84">
        <f>ROUND(K38*(1+L38),2)</f>
        <v>0</v>
      </c>
      <c r="N38" s="85"/>
      <c r="O38" s="85"/>
      <c r="P38" s="86">
        <f>IF(SUM(S39:AD39)&gt;0,1,0)</f>
        <v>0</v>
      </c>
      <c r="Q38" s="87">
        <f>M38*N38*52</f>
        <v>0</v>
      </c>
      <c r="R38" s="88"/>
      <c r="S38" s="89">
        <f t="shared" ref="S38:AD38" si="30">IF(S39="",$M38*$N38*2*S$7+$P40*S$7+$O38*$M38*1.5*2*S$7+IF($O$10="Y",(SUMIF($CS$3:$DT$3,S$1,$CS$8:$DT$8)-SUMIF($CS$3:$DT$3,R$1,$CS$8:$DT$8))*($M38*$N38*2*S$7+$P40*S$7+$O38*$M38*1.5*2*S$7)/(S$7*14),0)+IF($O$11="Y",(SUMIF($CS$3:$DT$3,S$1,$CS$8:$DT$8)*CU$11-SUMIF($CS$3:$DT$3,R$1,$CS$8:$DT$8)*CT$11)*($M38*$N38*2*S$7+$P40*S$7+$O38*$M38*1.5*2*S$7)/(S$7*14),0),S39)</f>
        <v>0</v>
      </c>
      <c r="T38" s="89">
        <f t="shared" si="30"/>
        <v>0</v>
      </c>
      <c r="U38" s="89">
        <f t="shared" si="30"/>
        <v>0</v>
      </c>
      <c r="V38" s="89">
        <f t="shared" si="30"/>
        <v>0</v>
      </c>
      <c r="W38" s="89">
        <f t="shared" si="30"/>
        <v>0</v>
      </c>
      <c r="X38" s="89">
        <f t="shared" si="30"/>
        <v>0</v>
      </c>
      <c r="Y38" s="89">
        <f t="shared" si="30"/>
        <v>0</v>
      </c>
      <c r="Z38" s="89">
        <f t="shared" si="30"/>
        <v>0</v>
      </c>
      <c r="AA38" s="89">
        <f t="shared" si="30"/>
        <v>0</v>
      </c>
      <c r="AB38" s="89">
        <f t="shared" si="30"/>
        <v>0</v>
      </c>
      <c r="AC38" s="89">
        <f t="shared" si="30"/>
        <v>0</v>
      </c>
      <c r="AD38" s="89">
        <f t="shared" si="30"/>
        <v>0</v>
      </c>
      <c r="AE38" s="90">
        <f>SUM(S38:AD38)</f>
        <v>0</v>
      </c>
    </row>
    <row r="39" spans="1:52" hidden="1">
      <c r="A39" s="1" t="str">
        <f>A38</f>
        <v>Uncheck to Hide</v>
      </c>
      <c r="B39" s="92"/>
      <c r="C39" s="93"/>
      <c r="D39" s="93"/>
      <c r="E39" s="93"/>
      <c r="F39" s="93"/>
      <c r="G39" s="93"/>
      <c r="H39" s="93"/>
      <c r="I39" s="93"/>
      <c r="J39" s="93"/>
      <c r="K39" s="93"/>
      <c r="L39" s="93"/>
      <c r="M39" s="93"/>
      <c r="N39" s="93"/>
      <c r="O39" s="93"/>
      <c r="P39" s="93"/>
      <c r="Q39" s="93"/>
      <c r="R39" s="93"/>
      <c r="S39" s="94"/>
      <c r="T39" s="94"/>
      <c r="U39" s="94"/>
      <c r="V39" s="94"/>
      <c r="W39" s="94"/>
      <c r="X39" s="94"/>
      <c r="Y39" s="94"/>
      <c r="Z39" s="94"/>
      <c r="AA39" s="94"/>
      <c r="AB39" s="94"/>
      <c r="AC39" s="94"/>
      <c r="AD39" s="94"/>
      <c r="AE39" s="93"/>
    </row>
    <row r="40" spans="1:52" s="58" customFormat="1" ht="12.75" hidden="1" customHeight="1">
      <c r="A40" s="96" t="s">
        <v>113</v>
      </c>
      <c r="B40" s="129"/>
      <c r="C40" s="130"/>
      <c r="D40" s="131"/>
      <c r="E40" s="131"/>
      <c r="F40" s="131"/>
      <c r="G40" s="132"/>
      <c r="H40" s="132"/>
      <c r="I40" s="132"/>
      <c r="J40" s="132"/>
      <c r="K40" s="132"/>
      <c r="L40" s="132"/>
      <c r="M40" s="133"/>
      <c r="N40" s="134"/>
      <c r="O40" s="134"/>
      <c r="P40" s="103">
        <f>+M38*N38*R38/AE$7</f>
        <v>0</v>
      </c>
      <c r="Q40" s="135"/>
      <c r="S40" s="106">
        <f t="shared" ref="S40:AD40" si="31">IF(S39&gt;0,S39-$P40*S$7,+S38-$P40*S$7)</f>
        <v>0</v>
      </c>
      <c r="T40" s="106">
        <f t="shared" si="31"/>
        <v>0</v>
      </c>
      <c r="U40" s="106">
        <f t="shared" si="31"/>
        <v>0</v>
      </c>
      <c r="V40" s="106">
        <f t="shared" si="31"/>
        <v>0</v>
      </c>
      <c r="W40" s="106">
        <f t="shared" si="31"/>
        <v>0</v>
      </c>
      <c r="X40" s="106">
        <f t="shared" si="31"/>
        <v>0</v>
      </c>
      <c r="Y40" s="106">
        <f t="shared" si="31"/>
        <v>0</v>
      </c>
      <c r="Z40" s="106">
        <f t="shared" si="31"/>
        <v>0</v>
      </c>
      <c r="AA40" s="106">
        <f t="shared" si="31"/>
        <v>0</v>
      </c>
      <c r="AB40" s="106">
        <f t="shared" si="31"/>
        <v>0</v>
      </c>
      <c r="AC40" s="106">
        <f t="shared" si="31"/>
        <v>0</v>
      </c>
      <c r="AD40" s="106">
        <f t="shared" si="31"/>
        <v>0</v>
      </c>
      <c r="AE40" s="136"/>
      <c r="AP40" s="108"/>
      <c r="AQ40" s="108"/>
      <c r="AR40" s="108"/>
      <c r="AS40" s="108"/>
    </row>
    <row r="41" spans="1:52" s="58" customFormat="1" ht="12.75" hidden="1" customHeight="1">
      <c r="A41" s="96" t="s">
        <v>113</v>
      </c>
      <c r="B41" s="129"/>
      <c r="C41" s="130"/>
      <c r="D41" s="131"/>
      <c r="E41" s="131"/>
      <c r="F41" s="131"/>
      <c r="G41" s="132"/>
      <c r="H41" s="132"/>
      <c r="I41" s="132"/>
      <c r="J41" s="132"/>
      <c r="K41" s="132"/>
      <c r="L41" s="132"/>
      <c r="M41" s="133"/>
      <c r="N41" s="134"/>
      <c r="O41" s="134"/>
      <c r="P41" s="131"/>
      <c r="Q41" s="135"/>
      <c r="R41" s="135"/>
      <c r="S41" s="137">
        <f>+S40</f>
        <v>0</v>
      </c>
      <c r="T41" s="137">
        <f t="shared" ref="T41:AD41" si="32">+T40+S41</f>
        <v>0</v>
      </c>
      <c r="U41" s="137">
        <f t="shared" si="32"/>
        <v>0</v>
      </c>
      <c r="V41" s="137">
        <f t="shared" si="32"/>
        <v>0</v>
      </c>
      <c r="W41" s="137">
        <f t="shared" si="32"/>
        <v>0</v>
      </c>
      <c r="X41" s="137">
        <f t="shared" si="32"/>
        <v>0</v>
      </c>
      <c r="Y41" s="137">
        <f t="shared" si="32"/>
        <v>0</v>
      </c>
      <c r="Z41" s="137">
        <f t="shared" si="32"/>
        <v>0</v>
      </c>
      <c r="AA41" s="137">
        <f t="shared" si="32"/>
        <v>0</v>
      </c>
      <c r="AB41" s="137">
        <f t="shared" si="32"/>
        <v>0</v>
      </c>
      <c r="AC41" s="137">
        <f t="shared" si="32"/>
        <v>0</v>
      </c>
      <c r="AD41" s="137">
        <f t="shared" si="32"/>
        <v>0</v>
      </c>
      <c r="AE41" s="136"/>
      <c r="AP41" s="108"/>
      <c r="AQ41" s="108"/>
      <c r="AR41" s="108"/>
      <c r="AS41" s="108"/>
    </row>
    <row r="42" spans="1:52" hidden="1">
      <c r="A42" s="1" t="str">
        <f>A39</f>
        <v>Uncheck to Hide</v>
      </c>
      <c r="B42" s="128"/>
      <c r="C42" s="112" t="s">
        <v>38</v>
      </c>
      <c r="D42" s="119"/>
      <c r="E42" s="120"/>
      <c r="F42" s="120"/>
      <c r="G42" s="120"/>
      <c r="H42" s="120"/>
      <c r="I42" s="120"/>
      <c r="J42" s="120"/>
      <c r="K42" s="120"/>
      <c r="L42" s="120"/>
      <c r="M42" s="120"/>
      <c r="N42" s="120"/>
      <c r="O42" s="120"/>
      <c r="P42" s="120"/>
      <c r="Q42" s="120"/>
      <c r="R42" s="120"/>
      <c r="S42" s="114">
        <f t="shared" ref="S42:AD42" si="33">IF($E$9="CA",IF(R41&lt;7000,$E$5*S40,($E$5-0.043)*S40),IF($E$9="IL",IF(R41&lt;12960,$E$5*S40,($E$5-0.04125)*S40),IF($E$9="PA",IF(R41&lt;10000,$E$5*S40,($E$5-0.071)*S40),IF($E$9="TX",IF(R41&lt;9000,$E$5*S40,($E$5-0.0363)*S40),$E$5*S40))))</f>
        <v>0</v>
      </c>
      <c r="T42" s="114">
        <f t="shared" si="33"/>
        <v>0</v>
      </c>
      <c r="U42" s="114">
        <f t="shared" si="33"/>
        <v>0</v>
      </c>
      <c r="V42" s="114">
        <f t="shared" si="33"/>
        <v>0</v>
      </c>
      <c r="W42" s="114">
        <f t="shared" si="33"/>
        <v>0</v>
      </c>
      <c r="X42" s="114">
        <f t="shared" si="33"/>
        <v>0</v>
      </c>
      <c r="Y42" s="114">
        <f t="shared" si="33"/>
        <v>0</v>
      </c>
      <c r="Z42" s="114">
        <f t="shared" si="33"/>
        <v>0</v>
      </c>
      <c r="AA42" s="114">
        <f t="shared" si="33"/>
        <v>0</v>
      </c>
      <c r="AB42" s="114">
        <f t="shared" si="33"/>
        <v>0</v>
      </c>
      <c r="AC42" s="114">
        <f t="shared" si="33"/>
        <v>0</v>
      </c>
      <c r="AD42" s="114">
        <f t="shared" si="33"/>
        <v>0</v>
      </c>
      <c r="AE42" s="115"/>
    </row>
    <row r="43" spans="1:52" hidden="1">
      <c r="A43" s="1" t="str">
        <f>A42</f>
        <v>Uncheck to Hide</v>
      </c>
      <c r="B43" s="128"/>
      <c r="C43" s="112" t="s">
        <v>114</v>
      </c>
      <c r="D43" s="119"/>
      <c r="E43" s="120"/>
      <c r="F43" s="120"/>
      <c r="G43" s="120"/>
      <c r="H43" s="120"/>
      <c r="I43" s="120"/>
      <c r="J43" s="120"/>
      <c r="K43" s="120"/>
      <c r="L43" s="120"/>
      <c r="M43" s="120"/>
      <c r="N43" s="120"/>
      <c r="O43" s="120"/>
      <c r="P43" s="120"/>
      <c r="Q43" s="120"/>
      <c r="R43" s="120"/>
      <c r="S43" s="117">
        <f t="shared" ref="S43:AD43" si="34">IF($E$9="WA",IF(S$1&lt;$G$6,$E$6*$N38*2*S$7+$CA$5*S40,$F$6*$N38*2*S$7+$CA$5*S40),IF($E$9="NV",IF(R41&gt;36000,0,IF(S$1&lt;$G$6,$E$6*S40,$F$6*S40)),IF(S$1&lt;$G$6,$E$6*S40,$F$6*S40)))</f>
        <v>0</v>
      </c>
      <c r="T43" s="117">
        <f t="shared" si="34"/>
        <v>0</v>
      </c>
      <c r="U43" s="117">
        <f t="shared" si="34"/>
        <v>0</v>
      </c>
      <c r="V43" s="117">
        <f t="shared" si="34"/>
        <v>0</v>
      </c>
      <c r="W43" s="117">
        <f t="shared" si="34"/>
        <v>0</v>
      </c>
      <c r="X43" s="117">
        <f t="shared" si="34"/>
        <v>0</v>
      </c>
      <c r="Y43" s="117">
        <f t="shared" si="34"/>
        <v>0</v>
      </c>
      <c r="Z43" s="117">
        <f t="shared" si="34"/>
        <v>0</v>
      </c>
      <c r="AA43" s="117">
        <f t="shared" si="34"/>
        <v>0</v>
      </c>
      <c r="AB43" s="117">
        <f t="shared" si="34"/>
        <v>0</v>
      </c>
      <c r="AC43" s="117">
        <f t="shared" si="34"/>
        <v>0</v>
      </c>
      <c r="AD43" s="117">
        <f t="shared" si="34"/>
        <v>0</v>
      </c>
      <c r="AE43" s="115"/>
    </row>
    <row r="44" spans="1:52" ht="13" hidden="1">
      <c r="A44" s="1" t="str">
        <f>A43</f>
        <v>Uncheck to Hide</v>
      </c>
      <c r="B44" s="111"/>
      <c r="C44" s="118" t="s">
        <v>86</v>
      </c>
      <c r="D44" s="113"/>
      <c r="E44" s="113"/>
      <c r="F44" s="113"/>
      <c r="G44" s="113"/>
      <c r="H44" s="113"/>
      <c r="I44" s="113"/>
      <c r="J44" s="113"/>
      <c r="K44" s="113"/>
      <c r="L44" s="113"/>
      <c r="M44" s="113"/>
      <c r="N44" s="113"/>
      <c r="O44" s="113"/>
      <c r="P44" s="113"/>
      <c r="Q44" s="113"/>
      <c r="R44" s="113"/>
      <c r="S44" s="117">
        <f t="shared" ref="S44:AD44" si="35">IF(S38=0,0,$H$11/26*S$7*IF(OR($G38=0,$G38=1),1,$G38))</f>
        <v>0</v>
      </c>
      <c r="T44" s="117">
        <f t="shared" si="35"/>
        <v>0</v>
      </c>
      <c r="U44" s="117">
        <f t="shared" si="35"/>
        <v>0</v>
      </c>
      <c r="V44" s="117">
        <f t="shared" si="35"/>
        <v>0</v>
      </c>
      <c r="W44" s="117">
        <f t="shared" si="35"/>
        <v>0</v>
      </c>
      <c r="X44" s="117">
        <f t="shared" si="35"/>
        <v>0</v>
      </c>
      <c r="Y44" s="117">
        <f t="shared" si="35"/>
        <v>0</v>
      </c>
      <c r="Z44" s="117">
        <f t="shared" si="35"/>
        <v>0</v>
      </c>
      <c r="AA44" s="117">
        <f t="shared" si="35"/>
        <v>0</v>
      </c>
      <c r="AB44" s="117">
        <f t="shared" si="35"/>
        <v>0</v>
      </c>
      <c r="AC44" s="117">
        <f t="shared" si="35"/>
        <v>0</v>
      </c>
      <c r="AD44" s="117">
        <f t="shared" si="35"/>
        <v>0</v>
      </c>
      <c r="AE44" s="115"/>
      <c r="AZ44" s="20"/>
    </row>
    <row r="45" spans="1:52" hidden="1">
      <c r="A45" s="1" t="str">
        <f>A43</f>
        <v>Uncheck to Hide</v>
      </c>
      <c r="B45" s="128"/>
      <c r="C45" s="118" t="str">
        <f>IF($E$9="CA","",$C$269)</f>
        <v>HEALTH INS. &amp; EMPL. BENEFITS</v>
      </c>
      <c r="D45" s="119"/>
      <c r="E45" s="120"/>
      <c r="F45" s="120"/>
      <c r="G45" s="120"/>
      <c r="H45" s="120"/>
      <c r="I45" s="120"/>
      <c r="J45" s="120"/>
      <c r="K45" s="120"/>
      <c r="L45" s="120"/>
      <c r="M45" s="120"/>
      <c r="N45" s="120"/>
      <c r="O45" s="120"/>
      <c r="P45" s="120"/>
      <c r="Q45" s="120"/>
      <c r="R45" s="120"/>
      <c r="S45" s="121">
        <f t="shared" ref="S45:AD45" si="36">IF(OR($E$9="CA",$E$9="CO",$E$9="OR",$E$9="WA"),0,IF($G38=0,0,$G38*$E$7*S$8/2+S40*$CC$6))</f>
        <v>0</v>
      </c>
      <c r="T45" s="121">
        <f t="shared" si="36"/>
        <v>0</v>
      </c>
      <c r="U45" s="121">
        <f t="shared" si="36"/>
        <v>0</v>
      </c>
      <c r="V45" s="121">
        <f t="shared" si="36"/>
        <v>0</v>
      </c>
      <c r="W45" s="121">
        <f t="shared" si="36"/>
        <v>0</v>
      </c>
      <c r="X45" s="121">
        <f t="shared" si="36"/>
        <v>0</v>
      </c>
      <c r="Y45" s="121">
        <f t="shared" si="36"/>
        <v>0</v>
      </c>
      <c r="Z45" s="121">
        <f t="shared" si="36"/>
        <v>0</v>
      </c>
      <c r="AA45" s="121">
        <f t="shared" si="36"/>
        <v>0</v>
      </c>
      <c r="AB45" s="121">
        <f t="shared" si="36"/>
        <v>0</v>
      </c>
      <c r="AC45" s="121">
        <f t="shared" si="36"/>
        <v>0</v>
      </c>
      <c r="AD45" s="121">
        <f t="shared" si="36"/>
        <v>0</v>
      </c>
      <c r="AE45" s="115"/>
    </row>
    <row r="46" spans="1:52">
      <c r="A46" s="1" t="str">
        <f>IF(F46+G46+H46+M46=0,"Uncheck to Hide","")</f>
        <v/>
      </c>
      <c r="B46" s="74" t="s">
        <v>120</v>
      </c>
      <c r="C46" s="75" t="s">
        <v>121</v>
      </c>
      <c r="D46" s="76" t="s">
        <v>122</v>
      </c>
      <c r="E46" s="77"/>
      <c r="F46" s="78">
        <v>1</v>
      </c>
      <c r="G46" s="125">
        <v>1</v>
      </c>
      <c r="H46" s="80"/>
      <c r="I46" s="80">
        <v>15</v>
      </c>
      <c r="J46" s="81">
        <v>45715</v>
      </c>
      <c r="K46" s="82">
        <v>24</v>
      </c>
      <c r="L46" s="83"/>
      <c r="M46" s="84">
        <f>ROUND(K46*(1+L46),2)</f>
        <v>24</v>
      </c>
      <c r="N46" s="85">
        <v>40</v>
      </c>
      <c r="O46" s="85"/>
      <c r="P46" s="86">
        <f>IF(SUM(S47:AD47)&gt;0,1,0)</f>
        <v>0</v>
      </c>
      <c r="Q46" s="87">
        <f>M46*N46*52</f>
        <v>49920</v>
      </c>
      <c r="R46" s="88"/>
      <c r="S46" s="89">
        <f t="shared" ref="S46:AD46" si="37">IF(S47="",$M46*$N46*2*S$7+$P48*S$7+$O46*$M46*1.5*2*S$7+IF($O$10="Y",(SUMIF($CS$3:$DT$3,S$1,$CS$8:$DT$8)-SUMIF($CS$3:$DT$3,R$1,$CS$8:$DT$8))*($M46*$N46*2*S$7+$P48*S$7+$O46*$M46*1.5*2*S$7)/(S$7*14),0)+IF($O$11="Y",(SUMIF($CS$3:$DT$3,S$1,$CS$8:$DT$8)*CU$11-SUMIF($CS$3:$DT$3,R$1,$CS$8:$DT$8)*CT$11)*($M46*$N46*2*S$7+$P48*S$7+$O46*$M46*1.5*2*S$7)/(S$7*14),0),S47)</f>
        <v>3840</v>
      </c>
      <c r="T46" s="89">
        <f t="shared" si="37"/>
        <v>3840</v>
      </c>
      <c r="U46" s="89">
        <f t="shared" si="37"/>
        <v>3840</v>
      </c>
      <c r="V46" s="89">
        <f t="shared" si="37"/>
        <v>3840</v>
      </c>
      <c r="W46" s="89">
        <f t="shared" si="37"/>
        <v>3840</v>
      </c>
      <c r="X46" s="89">
        <f t="shared" si="37"/>
        <v>3840</v>
      </c>
      <c r="Y46" s="89">
        <f t="shared" si="37"/>
        <v>5760</v>
      </c>
      <c r="Z46" s="89">
        <f t="shared" si="37"/>
        <v>3840</v>
      </c>
      <c r="AA46" s="89">
        <f t="shared" si="37"/>
        <v>3840</v>
      </c>
      <c r="AB46" s="89">
        <f t="shared" si="37"/>
        <v>3840</v>
      </c>
      <c r="AC46" s="89">
        <f t="shared" si="37"/>
        <v>3840</v>
      </c>
      <c r="AD46" s="89">
        <f t="shared" si="37"/>
        <v>5760</v>
      </c>
      <c r="AE46" s="90">
        <f>SUM(S46:AD46)</f>
        <v>49920</v>
      </c>
      <c r="AG46" s="6">
        <f>SUBTOTAL(9,AG47:AG95)</f>
        <v>1</v>
      </c>
      <c r="AH46" s="6" t="str">
        <f>Payroll!AG46&amp;" Leasing consultant"&amp;IF(Payroll!AG46&gt;1,"s","")&amp;Payroll!AH47&amp;Payroll!AH55&amp;Payroll!AH63&amp;Payroll!AH71&amp;Payroll!AH79&amp;Payroll!AH87&amp;Payroll!AH95</f>
        <v>1 Leasing consultant at $24/hour, working 40 hours per week without housing.</v>
      </c>
    </row>
    <row r="47" spans="1:52">
      <c r="A47" s="1" t="str">
        <f>A46</f>
        <v/>
      </c>
      <c r="B47" s="92"/>
      <c r="C47" s="93"/>
      <c r="D47" s="93"/>
      <c r="E47" s="93"/>
      <c r="F47" s="93"/>
      <c r="G47" s="93"/>
      <c r="H47" s="93"/>
      <c r="I47" s="93"/>
      <c r="J47" s="93"/>
      <c r="K47" s="93"/>
      <c r="L47" s="93"/>
      <c r="M47" s="93"/>
      <c r="N47" s="93"/>
      <c r="O47" s="93"/>
      <c r="P47" s="93"/>
      <c r="Q47" s="93"/>
      <c r="R47" s="93"/>
      <c r="S47" s="94"/>
      <c r="T47" s="94"/>
      <c r="U47" s="94"/>
      <c r="V47" s="94"/>
      <c r="W47" s="94"/>
      <c r="X47" s="94"/>
      <c r="Y47" s="94"/>
      <c r="Z47" s="94"/>
      <c r="AA47" s="94"/>
      <c r="AB47" s="94"/>
      <c r="AC47" s="94"/>
      <c r="AD47" s="94"/>
      <c r="AE47" s="93"/>
      <c r="AG47" s="95">
        <f>IF(AE46=0,0,1)</f>
        <v>1</v>
      </c>
      <c r="AH47" s="6" t="str">
        <f>IF(AG47=0,"",IF($AG$46&gt;1,", 1 at "," at ")&amp;"$"&amp;ROUND(M46,2)&amp;"/hour, working "&amp;N46&amp;" hours per week with"&amp;IF(E46&gt;0," housing","out housing"))</f>
        <v xml:space="preserve"> at $24/hour, working 40 hours per week without housing</v>
      </c>
    </row>
    <row r="48" spans="1:52" s="58" customFormat="1" ht="12.75" hidden="1" customHeight="1">
      <c r="A48" s="96" t="s">
        <v>113</v>
      </c>
      <c r="B48" s="129"/>
      <c r="C48" s="130"/>
      <c r="D48" s="131"/>
      <c r="E48" s="131"/>
      <c r="F48" s="131"/>
      <c r="G48" s="132"/>
      <c r="H48" s="132"/>
      <c r="I48" s="132"/>
      <c r="J48" s="132"/>
      <c r="K48" s="132"/>
      <c r="L48" s="132"/>
      <c r="M48" s="133"/>
      <c r="N48" s="134"/>
      <c r="O48" s="134"/>
      <c r="P48" s="103">
        <f>+M46*N46*R46/AE$7</f>
        <v>0</v>
      </c>
      <c r="Q48" s="135"/>
      <c r="S48" s="106">
        <f t="shared" ref="S48:AD48" si="38">IF(S47&gt;0,S47-$P48*S$7,+S46-$P48*S$7)</f>
        <v>3840</v>
      </c>
      <c r="T48" s="106">
        <f t="shared" si="38"/>
        <v>3840</v>
      </c>
      <c r="U48" s="106">
        <f t="shared" si="38"/>
        <v>3840</v>
      </c>
      <c r="V48" s="106">
        <f t="shared" si="38"/>
        <v>3840</v>
      </c>
      <c r="W48" s="106">
        <f t="shared" si="38"/>
        <v>3840</v>
      </c>
      <c r="X48" s="106">
        <f t="shared" si="38"/>
        <v>3840</v>
      </c>
      <c r="Y48" s="106">
        <f t="shared" si="38"/>
        <v>5760</v>
      </c>
      <c r="Z48" s="106">
        <f t="shared" si="38"/>
        <v>3840</v>
      </c>
      <c r="AA48" s="106">
        <f t="shared" si="38"/>
        <v>3840</v>
      </c>
      <c r="AB48" s="106">
        <f t="shared" si="38"/>
        <v>3840</v>
      </c>
      <c r="AC48" s="106">
        <f t="shared" si="38"/>
        <v>3840</v>
      </c>
      <c r="AD48" s="106">
        <f t="shared" si="38"/>
        <v>5760</v>
      </c>
      <c r="AE48" s="136"/>
      <c r="AP48" s="108"/>
      <c r="AQ48" s="108"/>
      <c r="AR48" s="108"/>
      <c r="AS48" s="108"/>
    </row>
    <row r="49" spans="1:52" s="58" customFormat="1" ht="12.75" hidden="1" customHeight="1">
      <c r="A49" s="96" t="s">
        <v>113</v>
      </c>
      <c r="B49" s="129"/>
      <c r="C49" s="130"/>
      <c r="D49" s="131"/>
      <c r="E49" s="131"/>
      <c r="F49" s="131"/>
      <c r="G49" s="132"/>
      <c r="H49" s="132"/>
      <c r="I49" s="132"/>
      <c r="J49" s="132"/>
      <c r="K49" s="132"/>
      <c r="L49" s="132"/>
      <c r="M49" s="133"/>
      <c r="N49" s="134"/>
      <c r="O49" s="134"/>
      <c r="P49" s="131"/>
      <c r="Q49" s="135"/>
      <c r="R49" s="135"/>
      <c r="S49" s="137">
        <f>+S48</f>
        <v>3840</v>
      </c>
      <c r="T49" s="137">
        <f t="shared" ref="T49:AD49" si="39">+T48+S49</f>
        <v>7680</v>
      </c>
      <c r="U49" s="137">
        <f t="shared" si="39"/>
        <v>11520</v>
      </c>
      <c r="V49" s="137">
        <f t="shared" si="39"/>
        <v>15360</v>
      </c>
      <c r="W49" s="137">
        <f t="shared" si="39"/>
        <v>19200</v>
      </c>
      <c r="X49" s="137">
        <f t="shared" si="39"/>
        <v>23040</v>
      </c>
      <c r="Y49" s="137">
        <f t="shared" si="39"/>
        <v>28800</v>
      </c>
      <c r="Z49" s="137">
        <f t="shared" si="39"/>
        <v>32640</v>
      </c>
      <c r="AA49" s="137">
        <f t="shared" si="39"/>
        <v>36480</v>
      </c>
      <c r="AB49" s="137">
        <f t="shared" si="39"/>
        <v>40320</v>
      </c>
      <c r="AC49" s="137">
        <f t="shared" si="39"/>
        <v>44160</v>
      </c>
      <c r="AD49" s="137">
        <f t="shared" si="39"/>
        <v>49920</v>
      </c>
      <c r="AE49" s="136"/>
      <c r="AP49" s="108"/>
      <c r="AQ49" s="108"/>
      <c r="AR49" s="108"/>
      <c r="AS49" s="108"/>
    </row>
    <row r="50" spans="1:52">
      <c r="A50" s="1" t="str">
        <f>A47</f>
        <v/>
      </c>
      <c r="B50" s="128"/>
      <c r="C50" s="112" t="s">
        <v>38</v>
      </c>
      <c r="D50" s="119"/>
      <c r="E50" s="120"/>
      <c r="F50" s="120"/>
      <c r="G50" s="120"/>
      <c r="H50" s="120"/>
      <c r="I50" s="120"/>
      <c r="J50" s="120"/>
      <c r="K50" s="120"/>
      <c r="L50" s="120"/>
      <c r="M50" s="120"/>
      <c r="N50" s="120"/>
      <c r="O50" s="120"/>
      <c r="P50" s="120"/>
      <c r="Q50" s="120"/>
      <c r="R50" s="120"/>
      <c r="S50" s="114">
        <f t="shared" ref="S50:AD50" si="40">IF($E$9="CA",IF(R49&lt;7000,$E$5*S48,($E$5-0.043)*S48),IF($E$9="IL",IF(R49&lt;12960,$E$5*S48,($E$5-0.04125)*S48),IF($E$9="PA",IF(R49&lt;10000,$E$5*S48,($E$5-0.071)*S48),IF($E$9="TX",IF(R49&lt;9000,$E$5*S48,($E$5-0.0363)*S48),$E$5*S48))))</f>
        <v>432.82175999999998</v>
      </c>
      <c r="T50" s="114">
        <f t="shared" si="40"/>
        <v>432.82175999999998</v>
      </c>
      <c r="U50" s="114">
        <f t="shared" si="40"/>
        <v>432.82175999999998</v>
      </c>
      <c r="V50" s="114">
        <f t="shared" si="40"/>
        <v>432.82175999999998</v>
      </c>
      <c r="W50" s="114">
        <f t="shared" si="40"/>
        <v>432.82175999999998</v>
      </c>
      <c r="X50" s="114">
        <f t="shared" si="40"/>
        <v>432.82175999999998</v>
      </c>
      <c r="Y50" s="114">
        <f t="shared" si="40"/>
        <v>649.23263999999995</v>
      </c>
      <c r="Z50" s="114">
        <f t="shared" si="40"/>
        <v>432.82175999999998</v>
      </c>
      <c r="AA50" s="114">
        <f t="shared" si="40"/>
        <v>432.82175999999998</v>
      </c>
      <c r="AB50" s="114">
        <f t="shared" si="40"/>
        <v>432.82175999999998</v>
      </c>
      <c r="AC50" s="114">
        <f t="shared" si="40"/>
        <v>432.82175999999998</v>
      </c>
      <c r="AD50" s="114">
        <f t="shared" si="40"/>
        <v>649.23263999999995</v>
      </c>
      <c r="AE50" s="115"/>
      <c r="AG50" s="69"/>
    </row>
    <row r="51" spans="1:52">
      <c r="A51" s="1" t="str">
        <f>A50</f>
        <v/>
      </c>
      <c r="B51" s="128"/>
      <c r="C51" s="112" t="s">
        <v>114</v>
      </c>
      <c r="D51" s="119"/>
      <c r="E51" s="120"/>
      <c r="F51" s="120"/>
      <c r="G51" s="120"/>
      <c r="H51" s="120"/>
      <c r="I51" s="120"/>
      <c r="J51" s="120"/>
      <c r="K51" s="120"/>
      <c r="L51" s="120"/>
      <c r="M51" s="120"/>
      <c r="N51" s="120"/>
      <c r="O51" s="120"/>
      <c r="P51" s="120"/>
      <c r="Q51" s="120"/>
      <c r="R51" s="120"/>
      <c r="S51" s="117">
        <f t="shared" ref="S51:AD51" si="41">IF($E$9="WA",IF(S$1&lt;$G$6,$E$6*$N46*2*S$7+$CA$5*S48,$F$6*$N46*2*S$7+$CA$5*S48),IF($E$9="NV",IF(R49&gt;36000,0,IF(S$1&lt;$G$6,$E$6*S48,$F$6*S48)),IF(S$1&lt;$G$6,$E$6*S48,$F$6*S48)))</f>
        <v>231.98399999999998</v>
      </c>
      <c r="T51" s="117">
        <f t="shared" si="41"/>
        <v>231.98399999999998</v>
      </c>
      <c r="U51" s="117">
        <f t="shared" si="41"/>
        <v>231.98399999999998</v>
      </c>
      <c r="V51" s="117">
        <f t="shared" si="41"/>
        <v>231.98399999999998</v>
      </c>
      <c r="W51" s="117">
        <f t="shared" si="41"/>
        <v>231.98399999999998</v>
      </c>
      <c r="X51" s="117">
        <f t="shared" si="41"/>
        <v>231.98399999999998</v>
      </c>
      <c r="Y51" s="117">
        <f t="shared" si="41"/>
        <v>347.976</v>
      </c>
      <c r="Z51" s="117">
        <f t="shared" si="41"/>
        <v>231.98399999999998</v>
      </c>
      <c r="AA51" s="117">
        <f t="shared" si="41"/>
        <v>231.98399999999998</v>
      </c>
      <c r="AB51" s="117">
        <f t="shared" si="41"/>
        <v>231.98399999999998</v>
      </c>
      <c r="AC51" s="117">
        <f t="shared" si="41"/>
        <v>231.98399999999998</v>
      </c>
      <c r="AD51" s="117">
        <f t="shared" si="41"/>
        <v>347.976</v>
      </c>
      <c r="AE51" s="115"/>
    </row>
    <row r="52" spans="1:52" ht="13">
      <c r="A52" s="1" t="str">
        <f>A51</f>
        <v/>
      </c>
      <c r="B52" s="111"/>
      <c r="C52" s="118" t="s">
        <v>86</v>
      </c>
      <c r="D52" s="113"/>
      <c r="E52" s="113"/>
      <c r="F52" s="113"/>
      <c r="G52" s="113"/>
      <c r="H52" s="113"/>
      <c r="I52" s="113"/>
      <c r="J52" s="113"/>
      <c r="K52" s="113"/>
      <c r="L52" s="113"/>
      <c r="M52" s="113"/>
      <c r="N52" s="113"/>
      <c r="O52" s="113"/>
      <c r="P52" s="113"/>
      <c r="Q52" s="113"/>
      <c r="R52" s="113"/>
      <c r="S52" s="117">
        <f t="shared" ref="S52:AD52" si="42">IF(S46=0,0,$H$11/26*S$7*IF(OR($G46=0,$G46=1),1,$G46))</f>
        <v>76.92307692307692</v>
      </c>
      <c r="T52" s="117">
        <f t="shared" si="42"/>
        <v>76.92307692307692</v>
      </c>
      <c r="U52" s="117">
        <f t="shared" si="42"/>
        <v>76.92307692307692</v>
      </c>
      <c r="V52" s="117">
        <f t="shared" si="42"/>
        <v>76.92307692307692</v>
      </c>
      <c r="W52" s="117">
        <f t="shared" si="42"/>
        <v>76.92307692307692</v>
      </c>
      <c r="X52" s="117">
        <f t="shared" si="42"/>
        <v>76.92307692307692</v>
      </c>
      <c r="Y52" s="117">
        <f t="shared" si="42"/>
        <v>115.38461538461539</v>
      </c>
      <c r="Z52" s="117">
        <f t="shared" si="42"/>
        <v>76.92307692307692</v>
      </c>
      <c r="AA52" s="117">
        <f t="shared" si="42"/>
        <v>76.92307692307692</v>
      </c>
      <c r="AB52" s="117">
        <f t="shared" si="42"/>
        <v>76.92307692307692</v>
      </c>
      <c r="AC52" s="117">
        <f t="shared" si="42"/>
        <v>76.92307692307692</v>
      </c>
      <c r="AD52" s="117">
        <f t="shared" si="42"/>
        <v>115.38461538461539</v>
      </c>
      <c r="AE52" s="115"/>
      <c r="AZ52" s="20"/>
    </row>
    <row r="53" spans="1:52">
      <c r="A53" s="1" t="str">
        <f>A51</f>
        <v/>
      </c>
      <c r="B53" s="128"/>
      <c r="C53" s="118" t="str">
        <f>IF($E$9="CA","",$C$269)</f>
        <v>HEALTH INS. &amp; EMPL. BENEFITS</v>
      </c>
      <c r="D53" s="119"/>
      <c r="E53" s="120"/>
      <c r="F53" s="120"/>
      <c r="G53" s="120"/>
      <c r="H53" s="120"/>
      <c r="I53" s="120"/>
      <c r="J53" s="120"/>
      <c r="K53" s="120"/>
      <c r="L53" s="120"/>
      <c r="M53" s="120"/>
      <c r="N53" s="120"/>
      <c r="O53" s="120"/>
      <c r="P53" s="120"/>
      <c r="Q53" s="120"/>
      <c r="R53" s="120"/>
      <c r="S53" s="121">
        <f t="shared" ref="S53:AD53" si="43">IF(OR($E$9="CA",$E$9="CO",$E$9="OR",$E$9="WA"),0,IF($G46=0,0,$G46*$E$7*S$8/2+S48*$CC$6))</f>
        <v>0</v>
      </c>
      <c r="T53" s="121">
        <f t="shared" si="43"/>
        <v>0</v>
      </c>
      <c r="U53" s="121">
        <f t="shared" si="43"/>
        <v>0</v>
      </c>
      <c r="V53" s="121">
        <f t="shared" si="43"/>
        <v>0</v>
      </c>
      <c r="W53" s="121">
        <f t="shared" si="43"/>
        <v>0</v>
      </c>
      <c r="X53" s="121">
        <f t="shared" si="43"/>
        <v>0</v>
      </c>
      <c r="Y53" s="121">
        <f t="shared" si="43"/>
        <v>0</v>
      </c>
      <c r="Z53" s="121">
        <f t="shared" si="43"/>
        <v>0</v>
      </c>
      <c r="AA53" s="121">
        <f t="shared" si="43"/>
        <v>0</v>
      </c>
      <c r="AB53" s="121">
        <f t="shared" si="43"/>
        <v>0</v>
      </c>
      <c r="AC53" s="121">
        <f t="shared" si="43"/>
        <v>0</v>
      </c>
      <c r="AD53" s="121">
        <f t="shared" si="43"/>
        <v>0</v>
      </c>
      <c r="AE53" s="115"/>
    </row>
    <row r="54" spans="1:52" hidden="1">
      <c r="A54" s="1" t="str">
        <f>IF(F54+G54+H54+M54=0,"Uncheck to Hide","")</f>
        <v>Uncheck to Hide</v>
      </c>
      <c r="B54" s="74" t="str">
        <f>B46</f>
        <v>6330-200  LEASING SALARY</v>
      </c>
      <c r="C54" s="75" t="s">
        <v>123</v>
      </c>
      <c r="D54" s="76"/>
      <c r="E54" s="77"/>
      <c r="F54" s="78"/>
      <c r="G54" s="125"/>
      <c r="H54" s="80"/>
      <c r="I54" s="80">
        <v>15</v>
      </c>
      <c r="J54" s="81"/>
      <c r="K54" s="82"/>
      <c r="L54" s="83"/>
      <c r="M54" s="84">
        <f>ROUND(K54*(1+L54),2)</f>
        <v>0</v>
      </c>
      <c r="N54" s="85"/>
      <c r="O54" s="85"/>
      <c r="P54" s="86">
        <f>IF(SUM(S55:AD55)&gt;0,1,0)</f>
        <v>0</v>
      </c>
      <c r="Q54" s="87">
        <f>M54*N54*52</f>
        <v>0</v>
      </c>
      <c r="R54" s="88"/>
      <c r="S54" s="89">
        <f t="shared" ref="S54:AD54" si="44">IF(S55="",$M54*$N54*2*S$7+$P56*S$7+$O54*$M54*1.5*2*S$7+IF($O$10="Y",(SUMIF($CS$3:$DT$3,S$1,$CS$8:$DT$8)-SUMIF($CS$3:$DT$3,R$1,$CS$8:$DT$8))*($M54*$N54*2*S$7+$P56*S$7+$O54*$M54*1.5*2*S$7)/(S$7*14),0)+IF($O$11="Y",(SUMIF($CS$3:$DT$3,S$1,$CS$8:$DT$8)*CU$11-SUMIF($CS$3:$DT$3,R$1,$CS$8:$DT$8)*CT$11)*($M54*$N54*2*S$7+$P56*S$7+$O54*$M54*1.5*2*S$7)/(S$7*14),0),S55)</f>
        <v>0</v>
      </c>
      <c r="T54" s="89">
        <f t="shared" si="44"/>
        <v>0</v>
      </c>
      <c r="U54" s="89">
        <f t="shared" si="44"/>
        <v>0</v>
      </c>
      <c r="V54" s="89">
        <f t="shared" si="44"/>
        <v>0</v>
      </c>
      <c r="W54" s="89">
        <f t="shared" si="44"/>
        <v>0</v>
      </c>
      <c r="X54" s="89">
        <f t="shared" si="44"/>
        <v>0</v>
      </c>
      <c r="Y54" s="89">
        <f t="shared" si="44"/>
        <v>0</v>
      </c>
      <c r="Z54" s="89">
        <f t="shared" si="44"/>
        <v>0</v>
      </c>
      <c r="AA54" s="89">
        <f t="shared" si="44"/>
        <v>0</v>
      </c>
      <c r="AB54" s="89">
        <f t="shared" si="44"/>
        <v>0</v>
      </c>
      <c r="AC54" s="89">
        <f t="shared" si="44"/>
        <v>0</v>
      </c>
      <c r="AD54" s="89">
        <f t="shared" si="44"/>
        <v>0</v>
      </c>
      <c r="AE54" s="90">
        <f>SUM(S54:AD54)</f>
        <v>0</v>
      </c>
    </row>
    <row r="55" spans="1:52" hidden="1">
      <c r="A55" s="1" t="str">
        <f>A54</f>
        <v>Uncheck to Hide</v>
      </c>
      <c r="B55" s="92"/>
      <c r="C55" s="93"/>
      <c r="D55" s="93"/>
      <c r="E55" s="93"/>
      <c r="F55" s="93"/>
      <c r="G55" s="93"/>
      <c r="H55" s="93"/>
      <c r="I55" s="93"/>
      <c r="J55" s="93"/>
      <c r="K55" s="93"/>
      <c r="L55" s="93"/>
      <c r="M55" s="93"/>
      <c r="N55" s="93"/>
      <c r="O55" s="93"/>
      <c r="P55" s="93"/>
      <c r="Q55" s="93"/>
      <c r="R55" s="93"/>
      <c r="S55" s="94"/>
      <c r="T55" s="94"/>
      <c r="U55" s="94"/>
      <c r="V55" s="94"/>
      <c r="W55" s="94"/>
      <c r="X55" s="94"/>
      <c r="Y55" s="94"/>
      <c r="Z55" s="94"/>
      <c r="AA55" s="94"/>
      <c r="AB55" s="94"/>
      <c r="AC55" s="94"/>
      <c r="AD55" s="94"/>
      <c r="AE55" s="93"/>
      <c r="AG55" s="95">
        <f>IF(AE54=0,0,1)</f>
        <v>0</v>
      </c>
      <c r="AH55" s="6" t="str">
        <f>IF(AG55=0,"",IF($AG$46&gt;1,", 1 at "," at ")&amp;"$"&amp;ROUND(M54,2)&amp;"/hour, working "&amp;N54&amp;" hours per week with"&amp;IF(E54&gt;0," housing","out housing"))</f>
        <v/>
      </c>
    </row>
    <row r="56" spans="1:52" s="58" customFormat="1" ht="12.75" hidden="1" customHeight="1">
      <c r="A56" s="96" t="s">
        <v>113</v>
      </c>
      <c r="B56" s="129"/>
      <c r="C56" s="130"/>
      <c r="D56" s="131"/>
      <c r="E56" s="131"/>
      <c r="F56" s="131"/>
      <c r="G56" s="132"/>
      <c r="H56" s="132"/>
      <c r="I56" s="132"/>
      <c r="J56" s="132"/>
      <c r="K56" s="132"/>
      <c r="L56" s="132"/>
      <c r="M56" s="133"/>
      <c r="N56" s="134"/>
      <c r="O56" s="134"/>
      <c r="P56" s="103">
        <f>+M54*N54*R54/AE$7</f>
        <v>0</v>
      </c>
      <c r="Q56" s="135"/>
      <c r="S56" s="106">
        <f t="shared" ref="S56:AD56" si="45">IF(S55&gt;0,S55-$P56*S$7,+S54-$P56*S$7)</f>
        <v>0</v>
      </c>
      <c r="T56" s="106">
        <f t="shared" si="45"/>
        <v>0</v>
      </c>
      <c r="U56" s="106">
        <f t="shared" si="45"/>
        <v>0</v>
      </c>
      <c r="V56" s="106">
        <f t="shared" si="45"/>
        <v>0</v>
      </c>
      <c r="W56" s="106">
        <f t="shared" si="45"/>
        <v>0</v>
      </c>
      <c r="X56" s="106">
        <f t="shared" si="45"/>
        <v>0</v>
      </c>
      <c r="Y56" s="106">
        <f t="shared" si="45"/>
        <v>0</v>
      </c>
      <c r="Z56" s="106">
        <f t="shared" si="45"/>
        <v>0</v>
      </c>
      <c r="AA56" s="106">
        <f t="shared" si="45"/>
        <v>0</v>
      </c>
      <c r="AB56" s="106">
        <f t="shared" si="45"/>
        <v>0</v>
      </c>
      <c r="AC56" s="106">
        <f t="shared" si="45"/>
        <v>0</v>
      </c>
      <c r="AD56" s="106">
        <f t="shared" si="45"/>
        <v>0</v>
      </c>
      <c r="AE56" s="136"/>
      <c r="AP56" s="108"/>
      <c r="AQ56" s="108"/>
      <c r="AR56" s="108"/>
      <c r="AS56" s="108"/>
    </row>
    <row r="57" spans="1:52" s="58" customFormat="1" ht="12.75" hidden="1" customHeight="1">
      <c r="A57" s="96" t="s">
        <v>113</v>
      </c>
      <c r="B57" s="129"/>
      <c r="C57" s="130"/>
      <c r="D57" s="131"/>
      <c r="E57" s="131"/>
      <c r="F57" s="131"/>
      <c r="G57" s="132"/>
      <c r="H57" s="132"/>
      <c r="I57" s="132"/>
      <c r="J57" s="132"/>
      <c r="K57" s="132"/>
      <c r="L57" s="132"/>
      <c r="M57" s="133"/>
      <c r="N57" s="134"/>
      <c r="O57" s="134"/>
      <c r="P57" s="131"/>
      <c r="Q57" s="135"/>
      <c r="R57" s="135"/>
      <c r="S57" s="137">
        <f>+S56</f>
        <v>0</v>
      </c>
      <c r="T57" s="137">
        <f t="shared" ref="T57:AD57" si="46">+T56+S57</f>
        <v>0</v>
      </c>
      <c r="U57" s="137">
        <f t="shared" si="46"/>
        <v>0</v>
      </c>
      <c r="V57" s="137">
        <f t="shared" si="46"/>
        <v>0</v>
      </c>
      <c r="W57" s="137">
        <f t="shared" si="46"/>
        <v>0</v>
      </c>
      <c r="X57" s="137">
        <f t="shared" si="46"/>
        <v>0</v>
      </c>
      <c r="Y57" s="137">
        <f t="shared" si="46"/>
        <v>0</v>
      </c>
      <c r="Z57" s="137">
        <f t="shared" si="46"/>
        <v>0</v>
      </c>
      <c r="AA57" s="137">
        <f t="shared" si="46"/>
        <v>0</v>
      </c>
      <c r="AB57" s="137">
        <f t="shared" si="46"/>
        <v>0</v>
      </c>
      <c r="AC57" s="137">
        <f t="shared" si="46"/>
        <v>0</v>
      </c>
      <c r="AD57" s="137">
        <f t="shared" si="46"/>
        <v>0</v>
      </c>
      <c r="AE57" s="136"/>
      <c r="AP57" s="108"/>
      <c r="AQ57" s="108"/>
      <c r="AR57" s="108"/>
      <c r="AS57" s="108"/>
    </row>
    <row r="58" spans="1:52" hidden="1">
      <c r="A58" s="1" t="str">
        <f>A55</f>
        <v>Uncheck to Hide</v>
      </c>
      <c r="B58" s="128"/>
      <c r="C58" s="112" t="s">
        <v>38</v>
      </c>
      <c r="D58" s="119"/>
      <c r="E58" s="120"/>
      <c r="F58" s="120"/>
      <c r="G58" s="120"/>
      <c r="H58" s="120"/>
      <c r="I58" s="120"/>
      <c r="J58" s="120"/>
      <c r="K58" s="120"/>
      <c r="L58" s="120"/>
      <c r="M58" s="120"/>
      <c r="N58" s="120"/>
      <c r="O58" s="120"/>
      <c r="P58" s="120"/>
      <c r="Q58" s="120"/>
      <c r="R58" s="120"/>
      <c r="S58" s="114">
        <f t="shared" ref="S58:AD58" si="47">IF($E$9="CA",IF(R57&lt;7000,$E$5*S56,($E$5-0.043)*S56),IF($E$9="IL",IF(R57&lt;12960,$E$5*S56,($E$5-0.04125)*S56),IF($E$9="PA",IF(R57&lt;10000,$E$5*S56,($E$5-0.071)*S56),IF($E$9="TX",IF(R57&lt;9000,$E$5*S56,($E$5-0.0363)*S56),$E$5*S56))))</f>
        <v>0</v>
      </c>
      <c r="T58" s="114">
        <f t="shared" si="47"/>
        <v>0</v>
      </c>
      <c r="U58" s="114">
        <f t="shared" si="47"/>
        <v>0</v>
      </c>
      <c r="V58" s="114">
        <f t="shared" si="47"/>
        <v>0</v>
      </c>
      <c r="W58" s="114">
        <f t="shared" si="47"/>
        <v>0</v>
      </c>
      <c r="X58" s="114">
        <f t="shared" si="47"/>
        <v>0</v>
      </c>
      <c r="Y58" s="114">
        <f t="shared" si="47"/>
        <v>0</v>
      </c>
      <c r="Z58" s="114">
        <f t="shared" si="47"/>
        <v>0</v>
      </c>
      <c r="AA58" s="114">
        <f t="shared" si="47"/>
        <v>0</v>
      </c>
      <c r="AB58" s="114">
        <f t="shared" si="47"/>
        <v>0</v>
      </c>
      <c r="AC58" s="114">
        <f t="shared" si="47"/>
        <v>0</v>
      </c>
      <c r="AD58" s="114">
        <f t="shared" si="47"/>
        <v>0</v>
      </c>
      <c r="AE58" s="115"/>
    </row>
    <row r="59" spans="1:52" hidden="1">
      <c r="A59" s="1" t="str">
        <f>A58</f>
        <v>Uncheck to Hide</v>
      </c>
      <c r="B59" s="128"/>
      <c r="C59" s="112" t="s">
        <v>114</v>
      </c>
      <c r="D59" s="119"/>
      <c r="E59" s="120"/>
      <c r="F59" s="120"/>
      <c r="G59" s="120"/>
      <c r="H59" s="120"/>
      <c r="I59" s="120"/>
      <c r="J59" s="120"/>
      <c r="K59" s="120"/>
      <c r="L59" s="120"/>
      <c r="M59" s="120"/>
      <c r="N59" s="120"/>
      <c r="O59" s="120"/>
      <c r="P59" s="120"/>
      <c r="Q59" s="120"/>
      <c r="R59" s="120"/>
      <c r="S59" s="117">
        <f t="shared" ref="S59:AD59" si="48">IF($E$9="WA",IF(S$1&lt;$G$6,$E$6*$N54*2*S$7+$CA$5*S56,$F$6*$N54*2*S$7+$CA$5*S56),IF($E$9="NV",IF(R57&gt;36000,0,IF(S$1&lt;$G$6,$E$6*S56,$F$6*S56)),IF(S$1&lt;$G$6,$E$6*S56,$F$6*S56)))</f>
        <v>0</v>
      </c>
      <c r="T59" s="117">
        <f t="shared" si="48"/>
        <v>0</v>
      </c>
      <c r="U59" s="117">
        <f t="shared" si="48"/>
        <v>0</v>
      </c>
      <c r="V59" s="117">
        <f t="shared" si="48"/>
        <v>0</v>
      </c>
      <c r="W59" s="117">
        <f t="shared" si="48"/>
        <v>0</v>
      </c>
      <c r="X59" s="117">
        <f t="shared" si="48"/>
        <v>0</v>
      </c>
      <c r="Y59" s="117">
        <f t="shared" si="48"/>
        <v>0</v>
      </c>
      <c r="Z59" s="117">
        <f t="shared" si="48"/>
        <v>0</v>
      </c>
      <c r="AA59" s="117">
        <f t="shared" si="48"/>
        <v>0</v>
      </c>
      <c r="AB59" s="117">
        <f t="shared" si="48"/>
        <v>0</v>
      </c>
      <c r="AC59" s="117">
        <f t="shared" si="48"/>
        <v>0</v>
      </c>
      <c r="AD59" s="117">
        <f t="shared" si="48"/>
        <v>0</v>
      </c>
      <c r="AE59" s="115"/>
    </row>
    <row r="60" spans="1:52" ht="13" hidden="1">
      <c r="A60" s="1" t="str">
        <f>A59</f>
        <v>Uncheck to Hide</v>
      </c>
      <c r="B60" s="111"/>
      <c r="C60" s="118" t="s">
        <v>86</v>
      </c>
      <c r="D60" s="113"/>
      <c r="E60" s="113"/>
      <c r="F60" s="113"/>
      <c r="G60" s="113"/>
      <c r="H60" s="113"/>
      <c r="I60" s="113"/>
      <c r="J60" s="113"/>
      <c r="K60" s="113"/>
      <c r="L60" s="113"/>
      <c r="M60" s="113"/>
      <c r="N60" s="113"/>
      <c r="O60" s="113"/>
      <c r="P60" s="113"/>
      <c r="Q60" s="113"/>
      <c r="R60" s="113"/>
      <c r="S60" s="117">
        <f t="shared" ref="S60:AD60" si="49">IF(S54=0,0,$H$11/26*S$7*IF(OR($G54=0,$G54=1),1,$G54))</f>
        <v>0</v>
      </c>
      <c r="T60" s="117">
        <f t="shared" si="49"/>
        <v>0</v>
      </c>
      <c r="U60" s="117">
        <f t="shared" si="49"/>
        <v>0</v>
      </c>
      <c r="V60" s="117">
        <f t="shared" si="49"/>
        <v>0</v>
      </c>
      <c r="W60" s="117">
        <f t="shared" si="49"/>
        <v>0</v>
      </c>
      <c r="X60" s="117">
        <f t="shared" si="49"/>
        <v>0</v>
      </c>
      <c r="Y60" s="117">
        <f t="shared" si="49"/>
        <v>0</v>
      </c>
      <c r="Z60" s="117">
        <f t="shared" si="49"/>
        <v>0</v>
      </c>
      <c r="AA60" s="117">
        <f t="shared" si="49"/>
        <v>0</v>
      </c>
      <c r="AB60" s="117">
        <f t="shared" si="49"/>
        <v>0</v>
      </c>
      <c r="AC60" s="117">
        <f t="shared" si="49"/>
        <v>0</v>
      </c>
      <c r="AD60" s="117">
        <f t="shared" si="49"/>
        <v>0</v>
      </c>
      <c r="AE60" s="115"/>
      <c r="AZ60" s="20"/>
    </row>
    <row r="61" spans="1:52" hidden="1">
      <c r="A61" s="1" t="str">
        <f>A59</f>
        <v>Uncheck to Hide</v>
      </c>
      <c r="B61" s="128"/>
      <c r="C61" s="118" t="str">
        <f>IF($E$9="CA","",$C$269)</f>
        <v>HEALTH INS. &amp; EMPL. BENEFITS</v>
      </c>
      <c r="D61" s="119"/>
      <c r="E61" s="120"/>
      <c r="F61" s="120"/>
      <c r="G61" s="120"/>
      <c r="H61" s="120"/>
      <c r="I61" s="120"/>
      <c r="J61" s="120"/>
      <c r="K61" s="120"/>
      <c r="L61" s="120"/>
      <c r="M61" s="120"/>
      <c r="N61" s="120"/>
      <c r="O61" s="120"/>
      <c r="P61" s="120"/>
      <c r="Q61" s="120"/>
      <c r="R61" s="120"/>
      <c r="S61" s="121">
        <f t="shared" ref="S61:AD61" si="50">IF(OR($E$9="CA",$E$9="CO",$E$9="OR",$E$9="WA"),0,IF($G54=0,0,$G54*$E$7*S$8/2+S56*$CC$6))</f>
        <v>0</v>
      </c>
      <c r="T61" s="121">
        <f t="shared" si="50"/>
        <v>0</v>
      </c>
      <c r="U61" s="121">
        <f t="shared" si="50"/>
        <v>0</v>
      </c>
      <c r="V61" s="121">
        <f t="shared" si="50"/>
        <v>0</v>
      </c>
      <c r="W61" s="121">
        <f t="shared" si="50"/>
        <v>0</v>
      </c>
      <c r="X61" s="121">
        <f t="shared" si="50"/>
        <v>0</v>
      </c>
      <c r="Y61" s="121">
        <f t="shared" si="50"/>
        <v>0</v>
      </c>
      <c r="Z61" s="121">
        <f t="shared" si="50"/>
        <v>0</v>
      </c>
      <c r="AA61" s="121">
        <f t="shared" si="50"/>
        <v>0</v>
      </c>
      <c r="AB61" s="121">
        <f t="shared" si="50"/>
        <v>0</v>
      </c>
      <c r="AC61" s="121">
        <f t="shared" si="50"/>
        <v>0</v>
      </c>
      <c r="AD61" s="121">
        <f t="shared" si="50"/>
        <v>0</v>
      </c>
      <c r="AE61" s="115"/>
    </row>
    <row r="62" spans="1:52" hidden="1">
      <c r="A62" s="1" t="str">
        <f>IF(F62+G62+H62+M62=0,"Uncheck to Hide","")</f>
        <v>Uncheck to Hide</v>
      </c>
      <c r="B62" s="74" t="str">
        <f>B54</f>
        <v>6330-200  LEASING SALARY</v>
      </c>
      <c r="C62" s="75" t="s">
        <v>124</v>
      </c>
      <c r="D62" s="76"/>
      <c r="E62" s="77"/>
      <c r="F62" s="78"/>
      <c r="G62" s="125"/>
      <c r="H62" s="80"/>
      <c r="I62" s="80">
        <v>15</v>
      </c>
      <c r="J62" s="81"/>
      <c r="K62" s="82"/>
      <c r="L62" s="83"/>
      <c r="M62" s="84">
        <f>ROUND(K62*(1+L62),2)</f>
        <v>0</v>
      </c>
      <c r="N62" s="85"/>
      <c r="O62" s="85"/>
      <c r="P62" s="86">
        <f>IF(SUM(S63:AD63)&gt;0,1,0)</f>
        <v>0</v>
      </c>
      <c r="Q62" s="87">
        <f>M62*N62*52</f>
        <v>0</v>
      </c>
      <c r="R62" s="88"/>
      <c r="S62" s="89">
        <f t="shared" ref="S62:AD62" si="51">IF(S63="",$M62*$N62*2*S$7+$P64*S$7+$O62*$M62*1.5*2*S$7+IF($O$10="Y",(SUMIF($CS$3:$DT$3,S$1,$CS$8:$DT$8)-SUMIF($CS$3:$DT$3,R$1,$CS$8:$DT$8))*($M62*$N62*2*S$7+$P64*S$7+$O62*$M62*1.5*2*S$7)/(S$7*14),0)+IF($O$11="Y",(SUMIF($CS$3:$DT$3,S$1,$CS$8:$DT$8)*CU$11-SUMIF($CS$3:$DT$3,R$1,$CS$8:$DT$8)*CT$11)*($M62*$N62*2*S$7+$P64*S$7+$O62*$M62*1.5*2*S$7)/(S$7*14),0),S63)</f>
        <v>0</v>
      </c>
      <c r="T62" s="89">
        <f t="shared" si="51"/>
        <v>0</v>
      </c>
      <c r="U62" s="89">
        <f t="shared" si="51"/>
        <v>0</v>
      </c>
      <c r="V62" s="89">
        <f t="shared" si="51"/>
        <v>0</v>
      </c>
      <c r="W62" s="89">
        <f t="shared" si="51"/>
        <v>0</v>
      </c>
      <c r="X62" s="89">
        <f t="shared" si="51"/>
        <v>0</v>
      </c>
      <c r="Y62" s="89">
        <f t="shared" si="51"/>
        <v>0</v>
      </c>
      <c r="Z62" s="89">
        <f t="shared" si="51"/>
        <v>0</v>
      </c>
      <c r="AA62" s="89">
        <f t="shared" si="51"/>
        <v>0</v>
      </c>
      <c r="AB62" s="89">
        <f t="shared" si="51"/>
        <v>0</v>
      </c>
      <c r="AC62" s="89">
        <f t="shared" si="51"/>
        <v>0</v>
      </c>
      <c r="AD62" s="89">
        <f t="shared" si="51"/>
        <v>0</v>
      </c>
      <c r="AE62" s="90">
        <f>SUM(S62:AD62)</f>
        <v>0</v>
      </c>
    </row>
    <row r="63" spans="1:52" hidden="1">
      <c r="A63" s="1" t="str">
        <f>A62</f>
        <v>Uncheck to Hide</v>
      </c>
      <c r="B63" s="92"/>
      <c r="C63" s="93"/>
      <c r="D63" s="93"/>
      <c r="E63" s="93"/>
      <c r="F63" s="93"/>
      <c r="G63" s="93"/>
      <c r="H63" s="93"/>
      <c r="I63" s="93"/>
      <c r="J63" s="93"/>
      <c r="K63" s="93"/>
      <c r="L63" s="93"/>
      <c r="M63" s="93"/>
      <c r="N63" s="93"/>
      <c r="O63" s="93"/>
      <c r="P63" s="93"/>
      <c r="Q63" s="93"/>
      <c r="R63" s="93"/>
      <c r="S63" s="94"/>
      <c r="T63" s="94"/>
      <c r="U63" s="94"/>
      <c r="V63" s="94"/>
      <c r="W63" s="94"/>
      <c r="X63" s="94"/>
      <c r="Y63" s="94"/>
      <c r="Z63" s="94"/>
      <c r="AA63" s="94"/>
      <c r="AB63" s="94"/>
      <c r="AC63" s="94"/>
      <c r="AD63" s="94"/>
      <c r="AE63" s="93"/>
      <c r="AG63" s="95">
        <f>IF(AE62=0,0,1)</f>
        <v>0</v>
      </c>
      <c r="AH63" s="6" t="str">
        <f>IF(AG63=0,"",IF($AG$46&gt;1,", 1 at "," at ")&amp;"$"&amp;ROUND(M62,2)&amp;"/hour, working "&amp;N62&amp;" hours per week with"&amp;IF(E62&gt;0," housing","out housing"))</f>
        <v/>
      </c>
    </row>
    <row r="64" spans="1:52" s="58" customFormat="1" ht="12.75" hidden="1" customHeight="1">
      <c r="A64" s="96" t="s">
        <v>113</v>
      </c>
      <c r="B64" s="129"/>
      <c r="C64" s="130"/>
      <c r="D64" s="131"/>
      <c r="E64" s="131"/>
      <c r="F64" s="131"/>
      <c r="G64" s="132"/>
      <c r="H64" s="132"/>
      <c r="I64" s="132"/>
      <c r="J64" s="132"/>
      <c r="K64" s="132"/>
      <c r="L64" s="132"/>
      <c r="M64" s="133"/>
      <c r="N64" s="134"/>
      <c r="O64" s="134"/>
      <c r="P64" s="103">
        <f>+M62*N62*R62/AE$7</f>
        <v>0</v>
      </c>
      <c r="Q64" s="135"/>
      <c r="S64" s="106">
        <f t="shared" ref="S64:AD64" si="52">IF(S63&gt;0,S63-$P64*S$7,+S62-$P64*S$7)</f>
        <v>0</v>
      </c>
      <c r="T64" s="106">
        <f t="shared" si="52"/>
        <v>0</v>
      </c>
      <c r="U64" s="106">
        <f t="shared" si="52"/>
        <v>0</v>
      </c>
      <c r="V64" s="106">
        <f t="shared" si="52"/>
        <v>0</v>
      </c>
      <c r="W64" s="106">
        <f t="shared" si="52"/>
        <v>0</v>
      </c>
      <c r="X64" s="106">
        <f t="shared" si="52"/>
        <v>0</v>
      </c>
      <c r="Y64" s="106">
        <f t="shared" si="52"/>
        <v>0</v>
      </c>
      <c r="Z64" s="106">
        <f t="shared" si="52"/>
        <v>0</v>
      </c>
      <c r="AA64" s="106">
        <f t="shared" si="52"/>
        <v>0</v>
      </c>
      <c r="AB64" s="106">
        <f t="shared" si="52"/>
        <v>0</v>
      </c>
      <c r="AC64" s="106">
        <f t="shared" si="52"/>
        <v>0</v>
      </c>
      <c r="AD64" s="106">
        <f t="shared" si="52"/>
        <v>0</v>
      </c>
      <c r="AE64" s="136"/>
      <c r="AP64" s="108"/>
      <c r="AQ64" s="108"/>
      <c r="AR64" s="108"/>
      <c r="AS64" s="108"/>
    </row>
    <row r="65" spans="1:52" s="58" customFormat="1" ht="12.75" hidden="1" customHeight="1">
      <c r="A65" s="96" t="s">
        <v>113</v>
      </c>
      <c r="B65" s="129"/>
      <c r="C65" s="130"/>
      <c r="D65" s="131"/>
      <c r="E65" s="131"/>
      <c r="F65" s="131"/>
      <c r="G65" s="132"/>
      <c r="H65" s="132"/>
      <c r="I65" s="132"/>
      <c r="J65" s="132"/>
      <c r="K65" s="132"/>
      <c r="L65" s="132"/>
      <c r="M65" s="133"/>
      <c r="N65" s="134"/>
      <c r="O65" s="134"/>
      <c r="P65" s="131"/>
      <c r="Q65" s="135"/>
      <c r="R65" s="135"/>
      <c r="S65" s="137">
        <f>+S64</f>
        <v>0</v>
      </c>
      <c r="T65" s="137">
        <f t="shared" ref="T65:AD65" si="53">+T64+S65</f>
        <v>0</v>
      </c>
      <c r="U65" s="137">
        <f t="shared" si="53"/>
        <v>0</v>
      </c>
      <c r="V65" s="137">
        <f t="shared" si="53"/>
        <v>0</v>
      </c>
      <c r="W65" s="137">
        <f t="shared" si="53"/>
        <v>0</v>
      </c>
      <c r="X65" s="137">
        <f t="shared" si="53"/>
        <v>0</v>
      </c>
      <c r="Y65" s="137">
        <f t="shared" si="53"/>
        <v>0</v>
      </c>
      <c r="Z65" s="137">
        <f t="shared" si="53"/>
        <v>0</v>
      </c>
      <c r="AA65" s="137">
        <f t="shared" si="53"/>
        <v>0</v>
      </c>
      <c r="AB65" s="137">
        <f t="shared" si="53"/>
        <v>0</v>
      </c>
      <c r="AC65" s="137">
        <f t="shared" si="53"/>
        <v>0</v>
      </c>
      <c r="AD65" s="137">
        <f t="shared" si="53"/>
        <v>0</v>
      </c>
      <c r="AE65" s="136"/>
      <c r="AP65" s="108"/>
      <c r="AQ65" s="108"/>
      <c r="AR65" s="108"/>
      <c r="AS65" s="108"/>
    </row>
    <row r="66" spans="1:52" hidden="1">
      <c r="A66" s="1" t="str">
        <f>A63</f>
        <v>Uncheck to Hide</v>
      </c>
      <c r="B66" s="128"/>
      <c r="C66" s="112" t="s">
        <v>38</v>
      </c>
      <c r="D66" s="119"/>
      <c r="E66" s="120"/>
      <c r="F66" s="120"/>
      <c r="G66" s="120"/>
      <c r="H66" s="120"/>
      <c r="I66" s="120"/>
      <c r="J66" s="120"/>
      <c r="K66" s="120"/>
      <c r="L66" s="120"/>
      <c r="M66" s="120"/>
      <c r="N66" s="120"/>
      <c r="O66" s="120"/>
      <c r="P66" s="120"/>
      <c r="Q66" s="120"/>
      <c r="R66" s="120"/>
      <c r="S66" s="114">
        <f t="shared" ref="S66:AD66" si="54">IF($E$9="CA",IF(R65&lt;7000,$E$5*S64,($E$5-0.043)*S64),IF($E$9="IL",IF(R65&lt;12960,$E$5*S64,($E$5-0.04125)*S64),IF($E$9="PA",IF(R65&lt;10000,$E$5*S64,($E$5-0.071)*S64),IF($E$9="TX",IF(R65&lt;9000,$E$5*S64,($E$5-0.0363)*S64),$E$5*S64))))</f>
        <v>0</v>
      </c>
      <c r="T66" s="114">
        <f t="shared" si="54"/>
        <v>0</v>
      </c>
      <c r="U66" s="114">
        <f t="shared" si="54"/>
        <v>0</v>
      </c>
      <c r="V66" s="114">
        <f t="shared" si="54"/>
        <v>0</v>
      </c>
      <c r="W66" s="114">
        <f t="shared" si="54"/>
        <v>0</v>
      </c>
      <c r="X66" s="114">
        <f t="shared" si="54"/>
        <v>0</v>
      </c>
      <c r="Y66" s="114">
        <f t="shared" si="54"/>
        <v>0</v>
      </c>
      <c r="Z66" s="114">
        <f t="shared" si="54"/>
        <v>0</v>
      </c>
      <c r="AA66" s="114">
        <f t="shared" si="54"/>
        <v>0</v>
      </c>
      <c r="AB66" s="114">
        <f t="shared" si="54"/>
        <v>0</v>
      </c>
      <c r="AC66" s="114">
        <f t="shared" si="54"/>
        <v>0</v>
      </c>
      <c r="AD66" s="114">
        <f t="shared" si="54"/>
        <v>0</v>
      </c>
      <c r="AE66" s="115"/>
    </row>
    <row r="67" spans="1:52" hidden="1">
      <c r="A67" s="1" t="str">
        <f>A66</f>
        <v>Uncheck to Hide</v>
      </c>
      <c r="B67" s="128"/>
      <c r="C67" s="112" t="s">
        <v>114</v>
      </c>
      <c r="D67" s="119"/>
      <c r="E67" s="120"/>
      <c r="F67" s="120"/>
      <c r="G67" s="120"/>
      <c r="H67" s="120"/>
      <c r="I67" s="120"/>
      <c r="J67" s="120"/>
      <c r="K67" s="120"/>
      <c r="L67" s="120"/>
      <c r="M67" s="120"/>
      <c r="N67" s="120"/>
      <c r="O67" s="120"/>
      <c r="P67" s="120"/>
      <c r="Q67" s="120"/>
      <c r="R67" s="120"/>
      <c r="S67" s="117">
        <f t="shared" ref="S67:AD67" si="55">IF($E$9="WA",IF(S$1&lt;$G$6,$E$6*$N62*2*S$7+$CA$5*S64,$F$6*$N62*2*S$7+$CA$5*S64),IF($E$9="NV",IF(R65&gt;36000,0,IF(S$1&lt;$G$6,$E$6*S64,$F$6*S64)),IF(S$1&lt;$G$6,$E$6*S64,$F$6*S64)))</f>
        <v>0</v>
      </c>
      <c r="T67" s="117">
        <f t="shared" si="55"/>
        <v>0</v>
      </c>
      <c r="U67" s="117">
        <f t="shared" si="55"/>
        <v>0</v>
      </c>
      <c r="V67" s="117">
        <f t="shared" si="55"/>
        <v>0</v>
      </c>
      <c r="W67" s="117">
        <f t="shared" si="55"/>
        <v>0</v>
      </c>
      <c r="X67" s="117">
        <f t="shared" si="55"/>
        <v>0</v>
      </c>
      <c r="Y67" s="117">
        <f t="shared" si="55"/>
        <v>0</v>
      </c>
      <c r="Z67" s="117">
        <f t="shared" si="55"/>
        <v>0</v>
      </c>
      <c r="AA67" s="117">
        <f t="shared" si="55"/>
        <v>0</v>
      </c>
      <c r="AB67" s="117">
        <f t="shared" si="55"/>
        <v>0</v>
      </c>
      <c r="AC67" s="117">
        <f t="shared" si="55"/>
        <v>0</v>
      </c>
      <c r="AD67" s="117">
        <f t="shared" si="55"/>
        <v>0</v>
      </c>
      <c r="AE67" s="115"/>
    </row>
    <row r="68" spans="1:52" ht="13" hidden="1">
      <c r="A68" s="1" t="str">
        <f>A67</f>
        <v>Uncheck to Hide</v>
      </c>
      <c r="B68" s="111"/>
      <c r="C68" s="118" t="s">
        <v>86</v>
      </c>
      <c r="D68" s="113"/>
      <c r="E68" s="113"/>
      <c r="F68" s="113"/>
      <c r="G68" s="113"/>
      <c r="H68" s="113"/>
      <c r="I68" s="113"/>
      <c r="J68" s="113"/>
      <c r="K68" s="113"/>
      <c r="L68" s="113"/>
      <c r="M68" s="113"/>
      <c r="N68" s="113"/>
      <c r="O68" s="113"/>
      <c r="P68" s="113"/>
      <c r="Q68" s="113"/>
      <c r="R68" s="113"/>
      <c r="S68" s="117">
        <f t="shared" ref="S68:AD68" si="56">IF(S62=0,0,$H$11/26*S$7*IF(OR($G62=0,$G62=1),1,$G62))</f>
        <v>0</v>
      </c>
      <c r="T68" s="117">
        <f t="shared" si="56"/>
        <v>0</v>
      </c>
      <c r="U68" s="117">
        <f t="shared" si="56"/>
        <v>0</v>
      </c>
      <c r="V68" s="117">
        <f t="shared" si="56"/>
        <v>0</v>
      </c>
      <c r="W68" s="117">
        <f t="shared" si="56"/>
        <v>0</v>
      </c>
      <c r="X68" s="117">
        <f t="shared" si="56"/>
        <v>0</v>
      </c>
      <c r="Y68" s="117">
        <f t="shared" si="56"/>
        <v>0</v>
      </c>
      <c r="Z68" s="117">
        <f t="shared" si="56"/>
        <v>0</v>
      </c>
      <c r="AA68" s="117">
        <f t="shared" si="56"/>
        <v>0</v>
      </c>
      <c r="AB68" s="117">
        <f t="shared" si="56"/>
        <v>0</v>
      </c>
      <c r="AC68" s="117">
        <f t="shared" si="56"/>
        <v>0</v>
      </c>
      <c r="AD68" s="117">
        <f t="shared" si="56"/>
        <v>0</v>
      </c>
      <c r="AE68" s="115"/>
      <c r="AZ68" s="20"/>
    </row>
    <row r="69" spans="1:52" hidden="1">
      <c r="A69" s="1" t="str">
        <f>A67</f>
        <v>Uncheck to Hide</v>
      </c>
      <c r="B69" s="128"/>
      <c r="C69" s="118" t="str">
        <f>IF($E$9="CA","",$C$269)</f>
        <v>HEALTH INS. &amp; EMPL. BENEFITS</v>
      </c>
      <c r="D69" s="119"/>
      <c r="E69" s="120"/>
      <c r="F69" s="120"/>
      <c r="G69" s="120"/>
      <c r="H69" s="120"/>
      <c r="I69" s="120"/>
      <c r="J69" s="120"/>
      <c r="K69" s="120"/>
      <c r="L69" s="120"/>
      <c r="M69" s="120"/>
      <c r="N69" s="120"/>
      <c r="O69" s="120"/>
      <c r="P69" s="120"/>
      <c r="Q69" s="120"/>
      <c r="R69" s="120"/>
      <c r="S69" s="121">
        <f t="shared" ref="S69:AD69" si="57">IF(OR($E$9="CA",$E$9="CO",$E$9="OR",$E$9="WA"),0,IF($G62=0,0,$G62*$E$7*S$8/2+S64*$CC$6))</f>
        <v>0</v>
      </c>
      <c r="T69" s="121">
        <f t="shared" si="57"/>
        <v>0</v>
      </c>
      <c r="U69" s="121">
        <f t="shared" si="57"/>
        <v>0</v>
      </c>
      <c r="V69" s="121">
        <f t="shared" si="57"/>
        <v>0</v>
      </c>
      <c r="W69" s="121">
        <f t="shared" si="57"/>
        <v>0</v>
      </c>
      <c r="X69" s="121">
        <f t="shared" si="57"/>
        <v>0</v>
      </c>
      <c r="Y69" s="121">
        <f t="shared" si="57"/>
        <v>0</v>
      </c>
      <c r="Z69" s="121">
        <f t="shared" si="57"/>
        <v>0</v>
      </c>
      <c r="AA69" s="121">
        <f t="shared" si="57"/>
        <v>0</v>
      </c>
      <c r="AB69" s="121">
        <f t="shared" si="57"/>
        <v>0</v>
      </c>
      <c r="AC69" s="121">
        <f t="shared" si="57"/>
        <v>0</v>
      </c>
      <c r="AD69" s="121">
        <f t="shared" si="57"/>
        <v>0</v>
      </c>
      <c r="AE69" s="115"/>
    </row>
    <row r="70" spans="1:52" hidden="1">
      <c r="A70" s="1" t="str">
        <f>IF(F70+G70+H70+M70=0,"Uncheck to Hide","")</f>
        <v>Uncheck to Hide</v>
      </c>
      <c r="B70" s="74" t="str">
        <f>B62</f>
        <v>6330-200  LEASING SALARY</v>
      </c>
      <c r="C70" s="75" t="s">
        <v>125</v>
      </c>
      <c r="D70" s="76"/>
      <c r="E70" s="77"/>
      <c r="F70" s="78"/>
      <c r="G70" s="125"/>
      <c r="H70" s="80"/>
      <c r="I70" s="80">
        <v>15</v>
      </c>
      <c r="J70" s="81"/>
      <c r="K70" s="82"/>
      <c r="L70" s="83"/>
      <c r="M70" s="84">
        <f>ROUND(K70*(1+L70),2)</f>
        <v>0</v>
      </c>
      <c r="N70" s="85"/>
      <c r="O70" s="85"/>
      <c r="P70" s="86">
        <f>IF(SUM(S71:AD71)&gt;0,1,0)</f>
        <v>0</v>
      </c>
      <c r="Q70" s="87">
        <f>M70*N70*52</f>
        <v>0</v>
      </c>
      <c r="R70" s="88"/>
      <c r="S70" s="89">
        <f t="shared" ref="S70:AD70" si="58">IF(S71="",$M70*$N70*2*S$7+$P72*S$7+$O70*$M70*1.5*2*S$7+IF($O$10="Y",(SUMIF($CS$3:$DT$3,S$1,$CS$8:$DT$8)-SUMIF($CS$3:$DT$3,R$1,$CS$8:$DT$8))*($M70*$N70*2*S$7+$P72*S$7+$O70*$M70*1.5*2*S$7)/(S$7*14),0)+IF($O$11="Y",(SUMIF($CS$3:$DT$3,S$1,$CS$8:$DT$8)*CU$11-SUMIF($CS$3:$DT$3,R$1,$CS$8:$DT$8)*CT$11)*($M70*$N70*2*S$7+$P72*S$7+$O70*$M70*1.5*2*S$7)/(S$7*14),0),S71)</f>
        <v>0</v>
      </c>
      <c r="T70" s="89">
        <f t="shared" si="58"/>
        <v>0</v>
      </c>
      <c r="U70" s="89">
        <f t="shared" si="58"/>
        <v>0</v>
      </c>
      <c r="V70" s="89">
        <f t="shared" si="58"/>
        <v>0</v>
      </c>
      <c r="W70" s="89">
        <f t="shared" si="58"/>
        <v>0</v>
      </c>
      <c r="X70" s="89">
        <f t="shared" si="58"/>
        <v>0</v>
      </c>
      <c r="Y70" s="89">
        <f t="shared" si="58"/>
        <v>0</v>
      </c>
      <c r="Z70" s="89">
        <f t="shared" si="58"/>
        <v>0</v>
      </c>
      <c r="AA70" s="89">
        <f t="shared" si="58"/>
        <v>0</v>
      </c>
      <c r="AB70" s="89">
        <f t="shared" si="58"/>
        <v>0</v>
      </c>
      <c r="AC70" s="89">
        <f t="shared" si="58"/>
        <v>0</v>
      </c>
      <c r="AD70" s="89">
        <f t="shared" si="58"/>
        <v>0</v>
      </c>
      <c r="AE70" s="90">
        <f>SUM(S70:AD70)</f>
        <v>0</v>
      </c>
    </row>
    <row r="71" spans="1:52" hidden="1">
      <c r="A71" s="1" t="str">
        <f>A70</f>
        <v>Uncheck to Hide</v>
      </c>
      <c r="B71" s="92"/>
      <c r="C71" s="93"/>
      <c r="D71" s="93"/>
      <c r="E71" s="93"/>
      <c r="F71" s="93"/>
      <c r="G71" s="93"/>
      <c r="H71" s="93"/>
      <c r="I71" s="93"/>
      <c r="J71" s="93"/>
      <c r="K71" s="93"/>
      <c r="L71" s="93"/>
      <c r="M71" s="93"/>
      <c r="N71" s="93"/>
      <c r="O71" s="93"/>
      <c r="P71" s="93"/>
      <c r="Q71" s="93"/>
      <c r="R71" s="93"/>
      <c r="S71" s="94"/>
      <c r="T71" s="94"/>
      <c r="U71" s="94"/>
      <c r="V71" s="94"/>
      <c r="W71" s="94"/>
      <c r="X71" s="94"/>
      <c r="Y71" s="94"/>
      <c r="Z71" s="94"/>
      <c r="AA71" s="94"/>
      <c r="AB71" s="94"/>
      <c r="AC71" s="94"/>
      <c r="AD71" s="94"/>
      <c r="AE71" s="93"/>
      <c r="AG71" s="95">
        <f>IF(AE70=0,0,1)</f>
        <v>0</v>
      </c>
      <c r="AH71" s="6" t="str">
        <f>IF(AG71=0,"",IF($AG$46&gt;1,", 1 at "," at ")&amp;"$"&amp;ROUND(M70,2)&amp;"/hour, working "&amp;N70&amp;" hours per week with"&amp;IF(E70&gt;0," housing","out housing"))</f>
        <v/>
      </c>
    </row>
    <row r="72" spans="1:52" s="58" customFormat="1" ht="12.75" hidden="1" customHeight="1">
      <c r="A72" s="96" t="s">
        <v>113</v>
      </c>
      <c r="B72" s="129"/>
      <c r="C72" s="130"/>
      <c r="D72" s="131"/>
      <c r="E72" s="131"/>
      <c r="F72" s="131"/>
      <c r="G72" s="132"/>
      <c r="H72" s="132"/>
      <c r="I72" s="132"/>
      <c r="J72" s="132"/>
      <c r="K72" s="132"/>
      <c r="L72" s="132"/>
      <c r="M72" s="133"/>
      <c r="N72" s="134"/>
      <c r="O72" s="134"/>
      <c r="P72" s="103">
        <f>+M70*N70*R70/AE$7</f>
        <v>0</v>
      </c>
      <c r="Q72" s="135"/>
      <c r="S72" s="106">
        <f t="shared" ref="S72:AD72" si="59">IF(S71&gt;0,S71-$P72*S$7,+S70-$P72*S$7)</f>
        <v>0</v>
      </c>
      <c r="T72" s="106">
        <f t="shared" si="59"/>
        <v>0</v>
      </c>
      <c r="U72" s="106">
        <f t="shared" si="59"/>
        <v>0</v>
      </c>
      <c r="V72" s="106">
        <f t="shared" si="59"/>
        <v>0</v>
      </c>
      <c r="W72" s="106">
        <f t="shared" si="59"/>
        <v>0</v>
      </c>
      <c r="X72" s="106">
        <f t="shared" si="59"/>
        <v>0</v>
      </c>
      <c r="Y72" s="106">
        <f t="shared" si="59"/>
        <v>0</v>
      </c>
      <c r="Z72" s="106">
        <f t="shared" si="59"/>
        <v>0</v>
      </c>
      <c r="AA72" s="106">
        <f t="shared" si="59"/>
        <v>0</v>
      </c>
      <c r="AB72" s="106">
        <f t="shared" si="59"/>
        <v>0</v>
      </c>
      <c r="AC72" s="106">
        <f t="shared" si="59"/>
        <v>0</v>
      </c>
      <c r="AD72" s="106">
        <f t="shared" si="59"/>
        <v>0</v>
      </c>
      <c r="AE72" s="136"/>
      <c r="AP72" s="108"/>
      <c r="AQ72" s="108"/>
      <c r="AR72" s="108"/>
      <c r="AS72" s="108"/>
    </row>
    <row r="73" spans="1:52" s="58" customFormat="1" ht="12.75" hidden="1" customHeight="1">
      <c r="A73" s="96" t="s">
        <v>113</v>
      </c>
      <c r="B73" s="129"/>
      <c r="C73" s="130"/>
      <c r="D73" s="131"/>
      <c r="E73" s="131"/>
      <c r="F73" s="131"/>
      <c r="G73" s="132"/>
      <c r="H73" s="132"/>
      <c r="I73" s="132"/>
      <c r="J73" s="132"/>
      <c r="K73" s="132"/>
      <c r="L73" s="132"/>
      <c r="M73" s="133"/>
      <c r="N73" s="134"/>
      <c r="O73" s="134"/>
      <c r="P73" s="131"/>
      <c r="Q73" s="135"/>
      <c r="R73" s="135"/>
      <c r="S73" s="137">
        <f>+S72</f>
        <v>0</v>
      </c>
      <c r="T73" s="137">
        <f t="shared" ref="T73:AD73" si="60">+T72+S73</f>
        <v>0</v>
      </c>
      <c r="U73" s="137">
        <f t="shared" si="60"/>
        <v>0</v>
      </c>
      <c r="V73" s="137">
        <f t="shared" si="60"/>
        <v>0</v>
      </c>
      <c r="W73" s="137">
        <f t="shared" si="60"/>
        <v>0</v>
      </c>
      <c r="X73" s="137">
        <f t="shared" si="60"/>
        <v>0</v>
      </c>
      <c r="Y73" s="137">
        <f t="shared" si="60"/>
        <v>0</v>
      </c>
      <c r="Z73" s="137">
        <f t="shared" si="60"/>
        <v>0</v>
      </c>
      <c r="AA73" s="137">
        <f t="shared" si="60"/>
        <v>0</v>
      </c>
      <c r="AB73" s="137">
        <f t="shared" si="60"/>
        <v>0</v>
      </c>
      <c r="AC73" s="137">
        <f t="shared" si="60"/>
        <v>0</v>
      </c>
      <c r="AD73" s="137">
        <f t="shared" si="60"/>
        <v>0</v>
      </c>
      <c r="AE73" s="136"/>
      <c r="AP73" s="108"/>
      <c r="AQ73" s="108"/>
      <c r="AR73" s="108"/>
      <c r="AS73" s="108"/>
    </row>
    <row r="74" spans="1:52" hidden="1">
      <c r="A74" s="1" t="str">
        <f>A71</f>
        <v>Uncheck to Hide</v>
      </c>
      <c r="B74" s="128"/>
      <c r="C74" s="112" t="s">
        <v>38</v>
      </c>
      <c r="D74" s="119"/>
      <c r="E74" s="120"/>
      <c r="F74" s="120"/>
      <c r="G74" s="120"/>
      <c r="H74" s="120"/>
      <c r="I74" s="120"/>
      <c r="J74" s="120"/>
      <c r="K74" s="120"/>
      <c r="L74" s="120"/>
      <c r="M74" s="120"/>
      <c r="N74" s="120"/>
      <c r="O74" s="120"/>
      <c r="P74" s="120"/>
      <c r="Q74" s="120"/>
      <c r="R74" s="120"/>
      <c r="S74" s="114">
        <f t="shared" ref="S74:AD74" si="61">IF($E$9="CA",IF(R73&lt;7000,$E$5*S72,($E$5-0.043)*S72),IF($E$9="IL",IF(R73&lt;12960,$E$5*S72,($E$5-0.04125)*S72),IF($E$9="PA",IF(R73&lt;10000,$E$5*S72,($E$5-0.071)*S72),IF($E$9="TX",IF(R73&lt;9000,$E$5*S72,($E$5-0.0363)*S72),$E$5*S72))))</f>
        <v>0</v>
      </c>
      <c r="T74" s="114">
        <f t="shared" si="61"/>
        <v>0</v>
      </c>
      <c r="U74" s="114">
        <f t="shared" si="61"/>
        <v>0</v>
      </c>
      <c r="V74" s="114">
        <f t="shared" si="61"/>
        <v>0</v>
      </c>
      <c r="W74" s="114">
        <f t="shared" si="61"/>
        <v>0</v>
      </c>
      <c r="X74" s="114">
        <f t="shared" si="61"/>
        <v>0</v>
      </c>
      <c r="Y74" s="114">
        <f t="shared" si="61"/>
        <v>0</v>
      </c>
      <c r="Z74" s="114">
        <f t="shared" si="61"/>
        <v>0</v>
      </c>
      <c r="AA74" s="114">
        <f t="shared" si="61"/>
        <v>0</v>
      </c>
      <c r="AB74" s="114">
        <f t="shared" si="61"/>
        <v>0</v>
      </c>
      <c r="AC74" s="114">
        <f t="shared" si="61"/>
        <v>0</v>
      </c>
      <c r="AD74" s="114">
        <f t="shared" si="61"/>
        <v>0</v>
      </c>
      <c r="AE74" s="115"/>
    </row>
    <row r="75" spans="1:52" hidden="1">
      <c r="A75" s="1" t="str">
        <f>A74</f>
        <v>Uncheck to Hide</v>
      </c>
      <c r="B75" s="128"/>
      <c r="C75" s="112" t="s">
        <v>114</v>
      </c>
      <c r="D75" s="119"/>
      <c r="E75" s="120"/>
      <c r="F75" s="120"/>
      <c r="G75" s="120"/>
      <c r="H75" s="120"/>
      <c r="I75" s="120"/>
      <c r="J75" s="120"/>
      <c r="K75" s="120"/>
      <c r="L75" s="120"/>
      <c r="M75" s="120"/>
      <c r="N75" s="120"/>
      <c r="O75" s="120"/>
      <c r="P75" s="120"/>
      <c r="Q75" s="120"/>
      <c r="R75" s="120"/>
      <c r="S75" s="117">
        <f t="shared" ref="S75:AD75" si="62">IF($E$9="WA",IF(S$1&lt;$G$6,$E$6*$N70*2*S$7+$CA$5*S72,$F$6*$N70*2*S$7+$CA$5*S72),IF($E$9="NV",IF(R73&gt;36000,0,IF(S$1&lt;$G$6,$E$6*S72,$F$6*S72)),IF(S$1&lt;$G$6,$E$6*S72,$F$6*S72)))</f>
        <v>0</v>
      </c>
      <c r="T75" s="117">
        <f t="shared" si="62"/>
        <v>0</v>
      </c>
      <c r="U75" s="117">
        <f t="shared" si="62"/>
        <v>0</v>
      </c>
      <c r="V75" s="117">
        <f t="shared" si="62"/>
        <v>0</v>
      </c>
      <c r="W75" s="117">
        <f t="shared" si="62"/>
        <v>0</v>
      </c>
      <c r="X75" s="117">
        <f t="shared" si="62"/>
        <v>0</v>
      </c>
      <c r="Y75" s="117">
        <f t="shared" si="62"/>
        <v>0</v>
      </c>
      <c r="Z75" s="117">
        <f t="shared" si="62"/>
        <v>0</v>
      </c>
      <c r="AA75" s="117">
        <f t="shared" si="62"/>
        <v>0</v>
      </c>
      <c r="AB75" s="117">
        <f t="shared" si="62"/>
        <v>0</v>
      </c>
      <c r="AC75" s="117">
        <f t="shared" si="62"/>
        <v>0</v>
      </c>
      <c r="AD75" s="117">
        <f t="shared" si="62"/>
        <v>0</v>
      </c>
      <c r="AE75" s="115"/>
    </row>
    <row r="76" spans="1:52" ht="13" hidden="1">
      <c r="A76" s="1" t="str">
        <f>A75</f>
        <v>Uncheck to Hide</v>
      </c>
      <c r="B76" s="111"/>
      <c r="C76" s="118" t="s">
        <v>86</v>
      </c>
      <c r="D76" s="113"/>
      <c r="E76" s="113"/>
      <c r="F76" s="113"/>
      <c r="G76" s="113"/>
      <c r="H76" s="113"/>
      <c r="I76" s="113"/>
      <c r="J76" s="113"/>
      <c r="K76" s="113"/>
      <c r="L76" s="113"/>
      <c r="M76" s="113"/>
      <c r="N76" s="113"/>
      <c r="O76" s="113"/>
      <c r="P76" s="113"/>
      <c r="Q76" s="113"/>
      <c r="R76" s="113"/>
      <c r="S76" s="117">
        <f t="shared" ref="S76:AD76" si="63">IF(S70=0,0,$H$11/26*S$7*IF(OR($G70=0,$G70=1),1,$G70))</f>
        <v>0</v>
      </c>
      <c r="T76" s="117">
        <f t="shared" si="63"/>
        <v>0</v>
      </c>
      <c r="U76" s="117">
        <f t="shared" si="63"/>
        <v>0</v>
      </c>
      <c r="V76" s="117">
        <f t="shared" si="63"/>
        <v>0</v>
      </c>
      <c r="W76" s="117">
        <f t="shared" si="63"/>
        <v>0</v>
      </c>
      <c r="X76" s="117">
        <f t="shared" si="63"/>
        <v>0</v>
      </c>
      <c r="Y76" s="117">
        <f t="shared" si="63"/>
        <v>0</v>
      </c>
      <c r="Z76" s="117">
        <f t="shared" si="63"/>
        <v>0</v>
      </c>
      <c r="AA76" s="117">
        <f t="shared" si="63"/>
        <v>0</v>
      </c>
      <c r="AB76" s="117">
        <f t="shared" si="63"/>
        <v>0</v>
      </c>
      <c r="AC76" s="117">
        <f t="shared" si="63"/>
        <v>0</v>
      </c>
      <c r="AD76" s="117">
        <f t="shared" si="63"/>
        <v>0</v>
      </c>
      <c r="AE76" s="115"/>
      <c r="AZ76" s="20"/>
    </row>
    <row r="77" spans="1:52" hidden="1">
      <c r="A77" s="1" t="str">
        <f>A75</f>
        <v>Uncheck to Hide</v>
      </c>
      <c r="B77" s="128"/>
      <c r="C77" s="118" t="str">
        <f>IF($E$9="CA","",$C$269)</f>
        <v>HEALTH INS. &amp; EMPL. BENEFITS</v>
      </c>
      <c r="D77" s="119"/>
      <c r="E77" s="120"/>
      <c r="F77" s="120"/>
      <c r="G77" s="120"/>
      <c r="H77" s="120"/>
      <c r="I77" s="120"/>
      <c r="J77" s="120"/>
      <c r="K77" s="120"/>
      <c r="L77" s="120"/>
      <c r="M77" s="120"/>
      <c r="N77" s="120"/>
      <c r="O77" s="120"/>
      <c r="P77" s="120"/>
      <c r="Q77" s="120"/>
      <c r="R77" s="120"/>
      <c r="S77" s="121">
        <f t="shared" ref="S77:AD77" si="64">IF(OR($E$9="CA",$E$9="CO",$E$9="OR",$E$9="WA"),0,IF($G70=0,0,$G70*$E$7*S$8/2+S72*$CC$6))</f>
        <v>0</v>
      </c>
      <c r="T77" s="121">
        <f t="shared" si="64"/>
        <v>0</v>
      </c>
      <c r="U77" s="121">
        <f t="shared" si="64"/>
        <v>0</v>
      </c>
      <c r="V77" s="121">
        <f t="shared" si="64"/>
        <v>0</v>
      </c>
      <c r="W77" s="121">
        <f t="shared" si="64"/>
        <v>0</v>
      </c>
      <c r="X77" s="121">
        <f t="shared" si="64"/>
        <v>0</v>
      </c>
      <c r="Y77" s="121">
        <f t="shared" si="64"/>
        <v>0</v>
      </c>
      <c r="Z77" s="121">
        <f t="shared" si="64"/>
        <v>0</v>
      </c>
      <c r="AA77" s="121">
        <f t="shared" si="64"/>
        <v>0</v>
      </c>
      <c r="AB77" s="121">
        <f t="shared" si="64"/>
        <v>0</v>
      </c>
      <c r="AC77" s="121">
        <f t="shared" si="64"/>
        <v>0</v>
      </c>
      <c r="AD77" s="121">
        <f t="shared" si="64"/>
        <v>0</v>
      </c>
      <c r="AE77" s="115"/>
    </row>
    <row r="78" spans="1:52" hidden="1">
      <c r="A78" s="1" t="str">
        <f>IF(F78+G78+H78+M78=0,"Uncheck to Hide","")</f>
        <v>Uncheck to Hide</v>
      </c>
      <c r="B78" s="74" t="str">
        <f>B70</f>
        <v>6330-200  LEASING SALARY</v>
      </c>
      <c r="C78" s="75" t="s">
        <v>126</v>
      </c>
      <c r="D78" s="76"/>
      <c r="E78" s="77"/>
      <c r="F78" s="78"/>
      <c r="G78" s="125"/>
      <c r="H78" s="80"/>
      <c r="I78" s="80">
        <v>15</v>
      </c>
      <c r="J78" s="81"/>
      <c r="K78" s="82"/>
      <c r="L78" s="83"/>
      <c r="M78" s="84">
        <f>ROUND(K78*(1+L78),2)</f>
        <v>0</v>
      </c>
      <c r="N78" s="85"/>
      <c r="O78" s="85"/>
      <c r="P78" s="86">
        <f>IF(SUM(S79:AD79)&gt;0,1,0)</f>
        <v>0</v>
      </c>
      <c r="Q78" s="87">
        <f>M78*N78*52</f>
        <v>0</v>
      </c>
      <c r="R78" s="88"/>
      <c r="S78" s="89">
        <f t="shared" ref="S78:AD78" si="65">IF(S79="",$M78*$N78*2*S$7+$P80*S$7+$O78*$M78*1.5*2*S$7+IF($O$10="Y",(SUMIF($CS$3:$DT$3,S$1,$CS$8:$DT$8)-SUMIF($CS$3:$DT$3,R$1,$CS$8:$DT$8))*($M78*$N78*2*S$7+$P80*S$7+$O78*$M78*1.5*2*S$7)/(S$7*14),0)+IF($O$11="Y",(SUMIF($CS$3:$DT$3,S$1,$CS$8:$DT$8)*CU$11-SUMIF($CS$3:$DT$3,R$1,$CS$8:$DT$8)*CT$11)*($M78*$N78*2*S$7+$P80*S$7+$O78*$M78*1.5*2*S$7)/(S$7*14),0),S79)</f>
        <v>0</v>
      </c>
      <c r="T78" s="89">
        <f t="shared" si="65"/>
        <v>0</v>
      </c>
      <c r="U78" s="89">
        <f t="shared" si="65"/>
        <v>0</v>
      </c>
      <c r="V78" s="89">
        <f t="shared" si="65"/>
        <v>0</v>
      </c>
      <c r="W78" s="89">
        <f t="shared" si="65"/>
        <v>0</v>
      </c>
      <c r="X78" s="89">
        <f t="shared" si="65"/>
        <v>0</v>
      </c>
      <c r="Y78" s="89">
        <f t="shared" si="65"/>
        <v>0</v>
      </c>
      <c r="Z78" s="89">
        <f t="shared" si="65"/>
        <v>0</v>
      </c>
      <c r="AA78" s="89">
        <f t="shared" si="65"/>
        <v>0</v>
      </c>
      <c r="AB78" s="89">
        <f t="shared" si="65"/>
        <v>0</v>
      </c>
      <c r="AC78" s="89">
        <f t="shared" si="65"/>
        <v>0</v>
      </c>
      <c r="AD78" s="89">
        <f t="shared" si="65"/>
        <v>0</v>
      </c>
      <c r="AE78" s="90">
        <f>SUM(S78:AD78)</f>
        <v>0</v>
      </c>
    </row>
    <row r="79" spans="1:52" hidden="1">
      <c r="A79" s="1" t="str">
        <f>A78</f>
        <v>Uncheck to Hide</v>
      </c>
      <c r="B79" s="92"/>
      <c r="C79" s="93"/>
      <c r="D79" s="93"/>
      <c r="E79" s="93"/>
      <c r="F79" s="93"/>
      <c r="G79" s="93"/>
      <c r="H79" s="93"/>
      <c r="I79" s="93"/>
      <c r="J79" s="93"/>
      <c r="K79" s="93"/>
      <c r="L79" s="93"/>
      <c r="M79" s="93"/>
      <c r="N79" s="93"/>
      <c r="O79" s="93"/>
      <c r="P79" s="93"/>
      <c r="Q79" s="93"/>
      <c r="R79" s="93"/>
      <c r="S79" s="94"/>
      <c r="T79" s="94"/>
      <c r="U79" s="94"/>
      <c r="V79" s="94"/>
      <c r="W79" s="94"/>
      <c r="X79" s="94"/>
      <c r="Y79" s="94"/>
      <c r="Z79" s="94"/>
      <c r="AA79" s="94"/>
      <c r="AB79" s="94"/>
      <c r="AC79" s="94"/>
      <c r="AD79" s="94"/>
      <c r="AE79" s="93"/>
      <c r="AG79" s="95">
        <f>IF(AE78=0,0,1)</f>
        <v>0</v>
      </c>
      <c r="AH79" s="6" t="str">
        <f>IF(AG79=0,"",IF($AG$46&gt;1,", 1 at "," at ")&amp;"$"&amp;ROUND(M78,2)&amp;"/hour, working "&amp;N78&amp;" hours per week with"&amp;IF(E78&gt;0," housing","out housing"))</f>
        <v/>
      </c>
    </row>
    <row r="80" spans="1:52" s="58" customFormat="1" ht="12.75" hidden="1" customHeight="1">
      <c r="A80" s="96" t="s">
        <v>113</v>
      </c>
      <c r="B80" s="129"/>
      <c r="C80" s="130"/>
      <c r="D80" s="131"/>
      <c r="E80" s="131"/>
      <c r="F80" s="131"/>
      <c r="G80" s="132"/>
      <c r="H80" s="132"/>
      <c r="I80" s="132"/>
      <c r="J80" s="132"/>
      <c r="K80" s="132"/>
      <c r="L80" s="132"/>
      <c r="M80" s="133"/>
      <c r="N80" s="134"/>
      <c r="O80" s="134"/>
      <c r="P80" s="103">
        <f>+M78*N78*R78/AE$7</f>
        <v>0</v>
      </c>
      <c r="Q80" s="135"/>
      <c r="S80" s="106">
        <f t="shared" ref="S80:AD80" si="66">IF(S79&gt;0,S79-$P80*S$7,+S78-$P80*S$7)</f>
        <v>0</v>
      </c>
      <c r="T80" s="106">
        <f t="shared" si="66"/>
        <v>0</v>
      </c>
      <c r="U80" s="106">
        <f t="shared" si="66"/>
        <v>0</v>
      </c>
      <c r="V80" s="106">
        <f t="shared" si="66"/>
        <v>0</v>
      </c>
      <c r="W80" s="106">
        <f t="shared" si="66"/>
        <v>0</v>
      </c>
      <c r="X80" s="106">
        <f t="shared" si="66"/>
        <v>0</v>
      </c>
      <c r="Y80" s="106">
        <f t="shared" si="66"/>
        <v>0</v>
      </c>
      <c r="Z80" s="106">
        <f t="shared" si="66"/>
        <v>0</v>
      </c>
      <c r="AA80" s="106">
        <f t="shared" si="66"/>
        <v>0</v>
      </c>
      <c r="AB80" s="106">
        <f t="shared" si="66"/>
        <v>0</v>
      </c>
      <c r="AC80" s="106">
        <f t="shared" si="66"/>
        <v>0</v>
      </c>
      <c r="AD80" s="106">
        <f t="shared" si="66"/>
        <v>0</v>
      </c>
      <c r="AE80" s="136"/>
      <c r="AP80" s="108"/>
      <c r="AQ80" s="108"/>
      <c r="AR80" s="108"/>
      <c r="AS80" s="108"/>
    </row>
    <row r="81" spans="1:52" s="58" customFormat="1" ht="12.75" hidden="1" customHeight="1">
      <c r="A81" s="96" t="s">
        <v>113</v>
      </c>
      <c r="B81" s="129"/>
      <c r="C81" s="130"/>
      <c r="D81" s="131"/>
      <c r="E81" s="131"/>
      <c r="F81" s="131"/>
      <c r="G81" s="132"/>
      <c r="H81" s="132"/>
      <c r="I81" s="132"/>
      <c r="J81" s="132"/>
      <c r="K81" s="132"/>
      <c r="L81" s="132"/>
      <c r="M81" s="133"/>
      <c r="N81" s="134"/>
      <c r="O81" s="134"/>
      <c r="P81" s="131"/>
      <c r="Q81" s="135"/>
      <c r="R81" s="135"/>
      <c r="S81" s="137">
        <f>+S80</f>
        <v>0</v>
      </c>
      <c r="T81" s="137">
        <f t="shared" ref="T81:AD81" si="67">+T80+S81</f>
        <v>0</v>
      </c>
      <c r="U81" s="137">
        <f t="shared" si="67"/>
        <v>0</v>
      </c>
      <c r="V81" s="137">
        <f t="shared" si="67"/>
        <v>0</v>
      </c>
      <c r="W81" s="137">
        <f t="shared" si="67"/>
        <v>0</v>
      </c>
      <c r="X81" s="137">
        <f t="shared" si="67"/>
        <v>0</v>
      </c>
      <c r="Y81" s="137">
        <f t="shared" si="67"/>
        <v>0</v>
      </c>
      <c r="Z81" s="137">
        <f t="shared" si="67"/>
        <v>0</v>
      </c>
      <c r="AA81" s="137">
        <f t="shared" si="67"/>
        <v>0</v>
      </c>
      <c r="AB81" s="137">
        <f t="shared" si="67"/>
        <v>0</v>
      </c>
      <c r="AC81" s="137">
        <f t="shared" si="67"/>
        <v>0</v>
      </c>
      <c r="AD81" s="137">
        <f t="shared" si="67"/>
        <v>0</v>
      </c>
      <c r="AE81" s="136"/>
      <c r="AP81" s="108"/>
      <c r="AQ81" s="108"/>
      <c r="AR81" s="108"/>
      <c r="AS81" s="108"/>
    </row>
    <row r="82" spans="1:52" hidden="1">
      <c r="A82" s="1" t="str">
        <f>A79</f>
        <v>Uncheck to Hide</v>
      </c>
      <c r="B82" s="128"/>
      <c r="C82" s="112" t="s">
        <v>38</v>
      </c>
      <c r="D82" s="119"/>
      <c r="E82" s="120"/>
      <c r="F82" s="120"/>
      <c r="G82" s="120"/>
      <c r="H82" s="120"/>
      <c r="I82" s="120"/>
      <c r="J82" s="120"/>
      <c r="K82" s="120"/>
      <c r="L82" s="120"/>
      <c r="M82" s="120"/>
      <c r="N82" s="120"/>
      <c r="O82" s="120"/>
      <c r="P82" s="120"/>
      <c r="Q82" s="120"/>
      <c r="R82" s="120"/>
      <c r="S82" s="114">
        <f t="shared" ref="S82:AD82" si="68">IF($E$9="CA",IF(R81&lt;7000,$E$5*S80,($E$5-0.043)*S80),IF($E$9="IL",IF(R81&lt;12960,$E$5*S80,($E$5-0.04125)*S80),IF($E$9="PA",IF(R81&lt;10000,$E$5*S80,($E$5-0.071)*S80),IF($E$9="TX",IF(R81&lt;9000,$E$5*S80,($E$5-0.0363)*S80),$E$5*S80))))</f>
        <v>0</v>
      </c>
      <c r="T82" s="114">
        <f t="shared" si="68"/>
        <v>0</v>
      </c>
      <c r="U82" s="114">
        <f t="shared" si="68"/>
        <v>0</v>
      </c>
      <c r="V82" s="114">
        <f t="shared" si="68"/>
        <v>0</v>
      </c>
      <c r="W82" s="114">
        <f t="shared" si="68"/>
        <v>0</v>
      </c>
      <c r="X82" s="114">
        <f t="shared" si="68"/>
        <v>0</v>
      </c>
      <c r="Y82" s="114">
        <f t="shared" si="68"/>
        <v>0</v>
      </c>
      <c r="Z82" s="114">
        <f t="shared" si="68"/>
        <v>0</v>
      </c>
      <c r="AA82" s="114">
        <f t="shared" si="68"/>
        <v>0</v>
      </c>
      <c r="AB82" s="114">
        <f t="shared" si="68"/>
        <v>0</v>
      </c>
      <c r="AC82" s="114">
        <f t="shared" si="68"/>
        <v>0</v>
      </c>
      <c r="AD82" s="114">
        <f t="shared" si="68"/>
        <v>0</v>
      </c>
      <c r="AE82" s="115"/>
    </row>
    <row r="83" spans="1:52" hidden="1">
      <c r="A83" s="1" t="str">
        <f>A82</f>
        <v>Uncheck to Hide</v>
      </c>
      <c r="B83" s="128"/>
      <c r="C83" s="112" t="s">
        <v>114</v>
      </c>
      <c r="D83" s="119"/>
      <c r="E83" s="120"/>
      <c r="F83" s="120"/>
      <c r="G83" s="120"/>
      <c r="H83" s="120"/>
      <c r="I83" s="120"/>
      <c r="J83" s="120"/>
      <c r="K83" s="120"/>
      <c r="L83" s="120"/>
      <c r="M83" s="120"/>
      <c r="N83" s="120"/>
      <c r="O83" s="120"/>
      <c r="P83" s="120"/>
      <c r="Q83" s="120"/>
      <c r="R83" s="120"/>
      <c r="S83" s="117">
        <f t="shared" ref="S83:AD83" si="69">IF($E$9="WA",IF(S$1&lt;$G$6,$E$6*$N78*2*S$7+$CA$5*S80,$F$6*$N78*2*S$7+$CA$5*S80),IF($E$9="NV",IF(R81&gt;36000,0,IF(S$1&lt;$G$6,$E$6*S80,$F$6*S80)),IF(S$1&lt;$G$6,$E$6*S80,$F$6*S80)))</f>
        <v>0</v>
      </c>
      <c r="T83" s="117">
        <f t="shared" si="69"/>
        <v>0</v>
      </c>
      <c r="U83" s="117">
        <f t="shared" si="69"/>
        <v>0</v>
      </c>
      <c r="V83" s="117">
        <f t="shared" si="69"/>
        <v>0</v>
      </c>
      <c r="W83" s="117">
        <f t="shared" si="69"/>
        <v>0</v>
      </c>
      <c r="X83" s="117">
        <f t="shared" si="69"/>
        <v>0</v>
      </c>
      <c r="Y83" s="117">
        <f t="shared" si="69"/>
        <v>0</v>
      </c>
      <c r="Z83" s="117">
        <f t="shared" si="69"/>
        <v>0</v>
      </c>
      <c r="AA83" s="117">
        <f t="shared" si="69"/>
        <v>0</v>
      </c>
      <c r="AB83" s="117">
        <f t="shared" si="69"/>
        <v>0</v>
      </c>
      <c r="AC83" s="117">
        <f t="shared" si="69"/>
        <v>0</v>
      </c>
      <c r="AD83" s="117">
        <f t="shared" si="69"/>
        <v>0</v>
      </c>
      <c r="AE83" s="115"/>
    </row>
    <row r="84" spans="1:52" ht="13" hidden="1">
      <c r="A84" s="1" t="str">
        <f>A83</f>
        <v>Uncheck to Hide</v>
      </c>
      <c r="B84" s="111"/>
      <c r="C84" s="118" t="s">
        <v>86</v>
      </c>
      <c r="D84" s="113"/>
      <c r="E84" s="113"/>
      <c r="F84" s="113"/>
      <c r="G84" s="113"/>
      <c r="H84" s="113"/>
      <c r="I84" s="113"/>
      <c r="J84" s="113"/>
      <c r="K84" s="113"/>
      <c r="L84" s="113"/>
      <c r="M84" s="113"/>
      <c r="N84" s="113"/>
      <c r="O84" s="113"/>
      <c r="P84" s="113"/>
      <c r="Q84" s="113"/>
      <c r="R84" s="113"/>
      <c r="S84" s="117">
        <f t="shared" ref="S84:AD84" si="70">IF(S78=0,0,$H$11/26*S$7*IF(OR($G78=0,$G78=1),1,$G78))</f>
        <v>0</v>
      </c>
      <c r="T84" s="117">
        <f t="shared" si="70"/>
        <v>0</v>
      </c>
      <c r="U84" s="117">
        <f t="shared" si="70"/>
        <v>0</v>
      </c>
      <c r="V84" s="117">
        <f t="shared" si="70"/>
        <v>0</v>
      </c>
      <c r="W84" s="117">
        <f t="shared" si="70"/>
        <v>0</v>
      </c>
      <c r="X84" s="117">
        <f t="shared" si="70"/>
        <v>0</v>
      </c>
      <c r="Y84" s="117">
        <f t="shared" si="70"/>
        <v>0</v>
      </c>
      <c r="Z84" s="117">
        <f t="shared" si="70"/>
        <v>0</v>
      </c>
      <c r="AA84" s="117">
        <f t="shared" si="70"/>
        <v>0</v>
      </c>
      <c r="AB84" s="117">
        <f t="shared" si="70"/>
        <v>0</v>
      </c>
      <c r="AC84" s="117">
        <f t="shared" si="70"/>
        <v>0</v>
      </c>
      <c r="AD84" s="117">
        <f t="shared" si="70"/>
        <v>0</v>
      </c>
      <c r="AE84" s="115"/>
      <c r="AZ84" s="20"/>
    </row>
    <row r="85" spans="1:52" ht="13.5" hidden="1" customHeight="1">
      <c r="A85" s="1" t="str">
        <f>A83</f>
        <v>Uncheck to Hide</v>
      </c>
      <c r="B85" s="128"/>
      <c r="C85" s="118" t="str">
        <f>IF($E$9="CA","",$C$269)</f>
        <v>HEALTH INS. &amp; EMPL. BENEFITS</v>
      </c>
      <c r="D85" s="119"/>
      <c r="E85" s="120"/>
      <c r="F85" s="120"/>
      <c r="G85" s="120"/>
      <c r="H85" s="120"/>
      <c r="I85" s="120"/>
      <c r="J85" s="120"/>
      <c r="K85" s="120"/>
      <c r="L85" s="120"/>
      <c r="M85" s="120"/>
      <c r="N85" s="120"/>
      <c r="O85" s="120"/>
      <c r="P85" s="120"/>
      <c r="Q85" s="120"/>
      <c r="R85" s="120"/>
      <c r="S85" s="121">
        <f t="shared" ref="S85:AD85" si="71">IF(OR($E$9="CA",$E$9="CO",$E$9="OR",$E$9="WA"),0,IF($G78=0,0,$G78*$E$7*S$8/2+S80*$CC$6))</f>
        <v>0</v>
      </c>
      <c r="T85" s="121">
        <f t="shared" si="71"/>
        <v>0</v>
      </c>
      <c r="U85" s="121">
        <f t="shared" si="71"/>
        <v>0</v>
      </c>
      <c r="V85" s="121">
        <f t="shared" si="71"/>
        <v>0</v>
      </c>
      <c r="W85" s="121">
        <f t="shared" si="71"/>
        <v>0</v>
      </c>
      <c r="X85" s="121">
        <f t="shared" si="71"/>
        <v>0</v>
      </c>
      <c r="Y85" s="121">
        <f t="shared" si="71"/>
        <v>0</v>
      </c>
      <c r="Z85" s="121">
        <f t="shared" si="71"/>
        <v>0</v>
      </c>
      <c r="AA85" s="121">
        <f t="shared" si="71"/>
        <v>0</v>
      </c>
      <c r="AB85" s="121">
        <f t="shared" si="71"/>
        <v>0</v>
      </c>
      <c r="AC85" s="121">
        <f t="shared" si="71"/>
        <v>0</v>
      </c>
      <c r="AD85" s="121">
        <f t="shared" si="71"/>
        <v>0</v>
      </c>
      <c r="AE85" s="115"/>
    </row>
    <row r="86" spans="1:52" hidden="1">
      <c r="A86" s="1" t="str">
        <f>IF(F86+G86+H86+M86=0,"Uncheck to Hide","")</f>
        <v>Uncheck to Hide</v>
      </c>
      <c r="B86" s="74" t="str">
        <f>B78</f>
        <v>6330-200  LEASING SALARY</v>
      </c>
      <c r="C86" s="75" t="s">
        <v>127</v>
      </c>
      <c r="D86" s="76"/>
      <c r="E86" s="77"/>
      <c r="F86" s="78"/>
      <c r="G86" s="125"/>
      <c r="H86" s="80"/>
      <c r="I86" s="80">
        <v>15</v>
      </c>
      <c r="J86" s="81"/>
      <c r="K86" s="82"/>
      <c r="L86" s="83"/>
      <c r="M86" s="84">
        <f>ROUND(K86*(1+L86),2)</f>
        <v>0</v>
      </c>
      <c r="N86" s="85"/>
      <c r="O86" s="85"/>
      <c r="P86" s="86">
        <f>IF(SUM(S87:AD87)&gt;0,1,0)</f>
        <v>0</v>
      </c>
      <c r="Q86" s="87">
        <f>M86*N86*52</f>
        <v>0</v>
      </c>
      <c r="R86" s="88"/>
      <c r="S86" s="89">
        <f t="shared" ref="S86:AD86" si="72">IF(S87="",$M86*$N86*2*S$7+$P88*S$7+$O86*$M86*1.5*2*S$7+IF($O$10="Y",(SUMIF($CS$3:$DT$3,S$1,$CS$8:$DT$8)-SUMIF($CS$3:$DT$3,R$1,$CS$8:$DT$8))*($M86*$N86*2*S$7+$P88*S$7+$O86*$M86*1.5*2*S$7)/(S$7*14),0)+IF($O$11="Y",(SUMIF($CS$3:$DT$3,S$1,$CS$8:$DT$8)*CU$11-SUMIF($CS$3:$DT$3,R$1,$CS$8:$DT$8)*CT$11)*($M86*$N86*2*S$7+$P88*S$7+$O86*$M86*1.5*2*S$7)/(S$7*14),0),S87)</f>
        <v>0</v>
      </c>
      <c r="T86" s="89">
        <f t="shared" si="72"/>
        <v>0</v>
      </c>
      <c r="U86" s="89">
        <f t="shared" si="72"/>
        <v>0</v>
      </c>
      <c r="V86" s="89">
        <f t="shared" si="72"/>
        <v>0</v>
      </c>
      <c r="W86" s="89">
        <f t="shared" si="72"/>
        <v>0</v>
      </c>
      <c r="X86" s="89">
        <f t="shared" si="72"/>
        <v>0</v>
      </c>
      <c r="Y86" s="89">
        <f t="shared" si="72"/>
        <v>0</v>
      </c>
      <c r="Z86" s="89">
        <f t="shared" si="72"/>
        <v>0</v>
      </c>
      <c r="AA86" s="89">
        <f t="shared" si="72"/>
        <v>0</v>
      </c>
      <c r="AB86" s="89">
        <f t="shared" si="72"/>
        <v>0</v>
      </c>
      <c r="AC86" s="89">
        <f t="shared" si="72"/>
        <v>0</v>
      </c>
      <c r="AD86" s="89">
        <f t="shared" si="72"/>
        <v>0</v>
      </c>
      <c r="AE86" s="90">
        <f>SUM(S86:AD86)</f>
        <v>0</v>
      </c>
    </row>
    <row r="87" spans="1:52" hidden="1">
      <c r="A87" s="1" t="str">
        <f>A86</f>
        <v>Uncheck to Hide</v>
      </c>
      <c r="B87" s="92"/>
      <c r="C87" s="93"/>
      <c r="D87" s="93"/>
      <c r="E87" s="93"/>
      <c r="F87" s="93"/>
      <c r="G87" s="93"/>
      <c r="H87" s="93"/>
      <c r="I87" s="93"/>
      <c r="J87" s="93"/>
      <c r="K87" s="93"/>
      <c r="L87" s="93"/>
      <c r="M87" s="93"/>
      <c r="N87" s="93"/>
      <c r="O87" s="93"/>
      <c r="P87" s="93"/>
      <c r="Q87" s="93"/>
      <c r="R87" s="93"/>
      <c r="S87" s="94"/>
      <c r="T87" s="94"/>
      <c r="U87" s="94"/>
      <c r="V87" s="94"/>
      <c r="W87" s="94"/>
      <c r="X87" s="94"/>
      <c r="Y87" s="94"/>
      <c r="Z87" s="94"/>
      <c r="AA87" s="94"/>
      <c r="AB87" s="94"/>
      <c r="AC87" s="94"/>
      <c r="AD87" s="94"/>
      <c r="AE87" s="93"/>
      <c r="AG87" s="95">
        <f>IF(AE86=0,0,1)</f>
        <v>0</v>
      </c>
      <c r="AH87" s="6" t="str">
        <f>IF(AG87=0,"",IF($AG$46&gt;1,", 1 at "," at ")&amp;"$"&amp;ROUND(M86,2)&amp;"/hour, working "&amp;N86&amp;" hours per week with"&amp;IF(E86&gt;0," housing","out housing"))</f>
        <v/>
      </c>
    </row>
    <row r="88" spans="1:52" s="58" customFormat="1" ht="12.75" hidden="1" customHeight="1">
      <c r="A88" s="96" t="s">
        <v>113</v>
      </c>
      <c r="B88" s="129"/>
      <c r="C88" s="130"/>
      <c r="D88" s="131"/>
      <c r="E88" s="131"/>
      <c r="F88" s="131"/>
      <c r="G88" s="132"/>
      <c r="H88" s="132"/>
      <c r="I88" s="132"/>
      <c r="J88" s="132"/>
      <c r="K88" s="132"/>
      <c r="L88" s="132"/>
      <c r="M88" s="133"/>
      <c r="N88" s="134"/>
      <c r="O88" s="134"/>
      <c r="P88" s="103">
        <f>+M86*N86*R86/AE$7</f>
        <v>0</v>
      </c>
      <c r="Q88" s="135"/>
      <c r="S88" s="106">
        <f t="shared" ref="S88:AD88" si="73">IF(S87&gt;0,S87-$P88*S$7,+S86-$P88*S$7)</f>
        <v>0</v>
      </c>
      <c r="T88" s="106">
        <f t="shared" si="73"/>
        <v>0</v>
      </c>
      <c r="U88" s="106">
        <f t="shared" si="73"/>
        <v>0</v>
      </c>
      <c r="V88" s="106">
        <f t="shared" si="73"/>
        <v>0</v>
      </c>
      <c r="W88" s="106">
        <f t="shared" si="73"/>
        <v>0</v>
      </c>
      <c r="X88" s="106">
        <f t="shared" si="73"/>
        <v>0</v>
      </c>
      <c r="Y88" s="106">
        <f t="shared" si="73"/>
        <v>0</v>
      </c>
      <c r="Z88" s="106">
        <f t="shared" si="73"/>
        <v>0</v>
      </c>
      <c r="AA88" s="106">
        <f t="shared" si="73"/>
        <v>0</v>
      </c>
      <c r="AB88" s="106">
        <f t="shared" si="73"/>
        <v>0</v>
      </c>
      <c r="AC88" s="106">
        <f t="shared" si="73"/>
        <v>0</v>
      </c>
      <c r="AD88" s="106">
        <f t="shared" si="73"/>
        <v>0</v>
      </c>
      <c r="AE88" s="136"/>
      <c r="AP88" s="108"/>
      <c r="AQ88" s="108"/>
      <c r="AR88" s="108"/>
      <c r="AS88" s="108"/>
    </row>
    <row r="89" spans="1:52" s="58" customFormat="1" ht="12.75" hidden="1" customHeight="1">
      <c r="A89" s="96" t="s">
        <v>113</v>
      </c>
      <c r="B89" s="129"/>
      <c r="C89" s="130"/>
      <c r="D89" s="131"/>
      <c r="E89" s="131"/>
      <c r="F89" s="131"/>
      <c r="G89" s="132"/>
      <c r="H89" s="132"/>
      <c r="I89" s="132"/>
      <c r="J89" s="132"/>
      <c r="K89" s="132"/>
      <c r="L89" s="132"/>
      <c r="M89" s="133"/>
      <c r="N89" s="134"/>
      <c r="O89" s="134"/>
      <c r="P89" s="131"/>
      <c r="Q89" s="135"/>
      <c r="R89" s="135"/>
      <c r="S89" s="137">
        <f>+S88</f>
        <v>0</v>
      </c>
      <c r="T89" s="137">
        <f t="shared" ref="T89:AD89" si="74">+T88+S89</f>
        <v>0</v>
      </c>
      <c r="U89" s="137">
        <f t="shared" si="74"/>
        <v>0</v>
      </c>
      <c r="V89" s="137">
        <f t="shared" si="74"/>
        <v>0</v>
      </c>
      <c r="W89" s="137">
        <f t="shared" si="74"/>
        <v>0</v>
      </c>
      <c r="X89" s="137">
        <f t="shared" si="74"/>
        <v>0</v>
      </c>
      <c r="Y89" s="137">
        <f t="shared" si="74"/>
        <v>0</v>
      </c>
      <c r="Z89" s="137">
        <f t="shared" si="74"/>
        <v>0</v>
      </c>
      <c r="AA89" s="137">
        <f t="shared" si="74"/>
        <v>0</v>
      </c>
      <c r="AB89" s="137">
        <f t="shared" si="74"/>
        <v>0</v>
      </c>
      <c r="AC89" s="137">
        <f t="shared" si="74"/>
        <v>0</v>
      </c>
      <c r="AD89" s="137">
        <f t="shared" si="74"/>
        <v>0</v>
      </c>
      <c r="AE89" s="136"/>
      <c r="AP89" s="108"/>
      <c r="AQ89" s="108"/>
      <c r="AR89" s="108"/>
      <c r="AS89" s="108"/>
    </row>
    <row r="90" spans="1:52" hidden="1">
      <c r="A90" s="1" t="str">
        <f>A87</f>
        <v>Uncheck to Hide</v>
      </c>
      <c r="B90" s="128"/>
      <c r="C90" s="112" t="s">
        <v>38</v>
      </c>
      <c r="D90" s="119"/>
      <c r="E90" s="120"/>
      <c r="F90" s="120"/>
      <c r="G90" s="120"/>
      <c r="H90" s="120"/>
      <c r="I90" s="120"/>
      <c r="J90" s="120"/>
      <c r="K90" s="120"/>
      <c r="L90" s="120"/>
      <c r="M90" s="120"/>
      <c r="N90" s="120"/>
      <c r="O90" s="120"/>
      <c r="P90" s="120"/>
      <c r="Q90" s="120"/>
      <c r="R90" s="120"/>
      <c r="S90" s="114">
        <f t="shared" ref="S90:AD90" si="75">IF($E$9="CA",IF(R89&lt;7000,$E$5*S88,($E$5-0.043)*S88),IF($E$9="IL",IF(R89&lt;12960,$E$5*S88,($E$5-0.04125)*S88),IF($E$9="PA",IF(R89&lt;10000,$E$5*S88,($E$5-0.071)*S88),IF($E$9="TX",IF(R89&lt;9000,$E$5*S88,($E$5-0.0363)*S88),$E$5*S88))))</f>
        <v>0</v>
      </c>
      <c r="T90" s="114">
        <f t="shared" si="75"/>
        <v>0</v>
      </c>
      <c r="U90" s="114">
        <f t="shared" si="75"/>
        <v>0</v>
      </c>
      <c r="V90" s="114">
        <f t="shared" si="75"/>
        <v>0</v>
      </c>
      <c r="W90" s="114">
        <f t="shared" si="75"/>
        <v>0</v>
      </c>
      <c r="X90" s="114">
        <f t="shared" si="75"/>
        <v>0</v>
      </c>
      <c r="Y90" s="114">
        <f t="shared" si="75"/>
        <v>0</v>
      </c>
      <c r="Z90" s="114">
        <f t="shared" si="75"/>
        <v>0</v>
      </c>
      <c r="AA90" s="114">
        <f t="shared" si="75"/>
        <v>0</v>
      </c>
      <c r="AB90" s="114">
        <f t="shared" si="75"/>
        <v>0</v>
      </c>
      <c r="AC90" s="114">
        <f t="shared" si="75"/>
        <v>0</v>
      </c>
      <c r="AD90" s="114">
        <f t="shared" si="75"/>
        <v>0</v>
      </c>
      <c r="AE90" s="115"/>
    </row>
    <row r="91" spans="1:52" hidden="1">
      <c r="A91" s="1" t="str">
        <f>A90</f>
        <v>Uncheck to Hide</v>
      </c>
      <c r="B91" s="128"/>
      <c r="C91" s="112" t="s">
        <v>114</v>
      </c>
      <c r="D91" s="119"/>
      <c r="E91" s="120"/>
      <c r="F91" s="120"/>
      <c r="G91" s="120"/>
      <c r="H91" s="120"/>
      <c r="I91" s="120"/>
      <c r="J91" s="120"/>
      <c r="K91" s="120"/>
      <c r="L91" s="120"/>
      <c r="M91" s="120"/>
      <c r="N91" s="120"/>
      <c r="O91" s="120"/>
      <c r="P91" s="120"/>
      <c r="Q91" s="120"/>
      <c r="R91" s="120"/>
      <c r="S91" s="117">
        <f t="shared" ref="S91:AD91" si="76">IF($E$9="WA",IF(S$1&lt;$G$6,$E$6*$N86*2*S$7+$CA$5*S88,$F$6*$N86*2*S$7+$CA$5*S88),IF($E$9="NV",IF(R89&gt;36000,0,IF(S$1&lt;$G$6,$E$6*S88,$F$6*S88)),IF(S$1&lt;$G$6,$E$6*S88,$F$6*S88)))</f>
        <v>0</v>
      </c>
      <c r="T91" s="117">
        <f t="shared" si="76"/>
        <v>0</v>
      </c>
      <c r="U91" s="117">
        <f t="shared" si="76"/>
        <v>0</v>
      </c>
      <c r="V91" s="117">
        <f t="shared" si="76"/>
        <v>0</v>
      </c>
      <c r="W91" s="117">
        <f t="shared" si="76"/>
        <v>0</v>
      </c>
      <c r="X91" s="117">
        <f t="shared" si="76"/>
        <v>0</v>
      </c>
      <c r="Y91" s="117">
        <f t="shared" si="76"/>
        <v>0</v>
      </c>
      <c r="Z91" s="117">
        <f t="shared" si="76"/>
        <v>0</v>
      </c>
      <c r="AA91" s="117">
        <f t="shared" si="76"/>
        <v>0</v>
      </c>
      <c r="AB91" s="117">
        <f t="shared" si="76"/>
        <v>0</v>
      </c>
      <c r="AC91" s="117">
        <f t="shared" si="76"/>
        <v>0</v>
      </c>
      <c r="AD91" s="117">
        <f t="shared" si="76"/>
        <v>0</v>
      </c>
      <c r="AE91" s="115"/>
    </row>
    <row r="92" spans="1:52" ht="13" hidden="1">
      <c r="A92" s="1" t="str">
        <f>A91</f>
        <v>Uncheck to Hide</v>
      </c>
      <c r="B92" s="111"/>
      <c r="C92" s="118" t="s">
        <v>86</v>
      </c>
      <c r="D92" s="113"/>
      <c r="E92" s="113"/>
      <c r="F92" s="113"/>
      <c r="G92" s="113"/>
      <c r="H92" s="113"/>
      <c r="I92" s="113"/>
      <c r="J92" s="113"/>
      <c r="K92" s="113"/>
      <c r="L92" s="113"/>
      <c r="M92" s="113"/>
      <c r="N92" s="113"/>
      <c r="O92" s="113"/>
      <c r="P92" s="113"/>
      <c r="Q92" s="113"/>
      <c r="R92" s="113"/>
      <c r="S92" s="117">
        <f t="shared" ref="S92:AD92" si="77">IF(S86=0,0,$H$11/26*S$7*IF(OR($G86=0,$G86=1),1,$G86))</f>
        <v>0</v>
      </c>
      <c r="T92" s="117">
        <f t="shared" si="77"/>
        <v>0</v>
      </c>
      <c r="U92" s="117">
        <f t="shared" si="77"/>
        <v>0</v>
      </c>
      <c r="V92" s="117">
        <f t="shared" si="77"/>
        <v>0</v>
      </c>
      <c r="W92" s="117">
        <f t="shared" si="77"/>
        <v>0</v>
      </c>
      <c r="X92" s="117">
        <f t="shared" si="77"/>
        <v>0</v>
      </c>
      <c r="Y92" s="117">
        <f t="shared" si="77"/>
        <v>0</v>
      </c>
      <c r="Z92" s="117">
        <f t="shared" si="77"/>
        <v>0</v>
      </c>
      <c r="AA92" s="117">
        <f t="shared" si="77"/>
        <v>0</v>
      </c>
      <c r="AB92" s="117">
        <f t="shared" si="77"/>
        <v>0</v>
      </c>
      <c r="AC92" s="117">
        <f t="shared" si="77"/>
        <v>0</v>
      </c>
      <c r="AD92" s="117">
        <f t="shared" si="77"/>
        <v>0</v>
      </c>
      <c r="AE92" s="115"/>
      <c r="AZ92" s="20"/>
    </row>
    <row r="93" spans="1:52" hidden="1">
      <c r="A93" s="1" t="str">
        <f>A91</f>
        <v>Uncheck to Hide</v>
      </c>
      <c r="B93" s="128"/>
      <c r="C93" s="118" t="str">
        <f>IF($E$9="CA","",$C$269)</f>
        <v>HEALTH INS. &amp; EMPL. BENEFITS</v>
      </c>
      <c r="D93" s="119"/>
      <c r="E93" s="120"/>
      <c r="F93" s="120"/>
      <c r="G93" s="120"/>
      <c r="H93" s="120"/>
      <c r="I93" s="120"/>
      <c r="J93" s="120"/>
      <c r="K93" s="120"/>
      <c r="L93" s="120"/>
      <c r="M93" s="120"/>
      <c r="N93" s="120"/>
      <c r="O93" s="120"/>
      <c r="P93" s="120"/>
      <c r="Q93" s="120"/>
      <c r="R93" s="120"/>
      <c r="S93" s="121">
        <f t="shared" ref="S93:AD93" si="78">IF(OR($E$9="CA",$E$9="CO",$E$9="OR",$E$9="WA"),0,IF($G86=0,0,$G86*$E$7*S$8/2+S88*$CC$6))</f>
        <v>0</v>
      </c>
      <c r="T93" s="121">
        <f t="shared" si="78"/>
        <v>0</v>
      </c>
      <c r="U93" s="121">
        <f t="shared" si="78"/>
        <v>0</v>
      </c>
      <c r="V93" s="121">
        <f t="shared" si="78"/>
        <v>0</v>
      </c>
      <c r="W93" s="121">
        <f t="shared" si="78"/>
        <v>0</v>
      </c>
      <c r="X93" s="121">
        <f t="shared" si="78"/>
        <v>0</v>
      </c>
      <c r="Y93" s="121">
        <f t="shared" si="78"/>
        <v>0</v>
      </c>
      <c r="Z93" s="121">
        <f t="shared" si="78"/>
        <v>0</v>
      </c>
      <c r="AA93" s="121">
        <f t="shared" si="78"/>
        <v>0</v>
      </c>
      <c r="AB93" s="121">
        <f t="shared" si="78"/>
        <v>0</v>
      </c>
      <c r="AC93" s="121">
        <f t="shared" si="78"/>
        <v>0</v>
      </c>
      <c r="AD93" s="121">
        <f t="shared" si="78"/>
        <v>0</v>
      </c>
      <c r="AE93" s="115"/>
    </row>
    <row r="94" spans="1:52" hidden="1">
      <c r="A94" s="1" t="str">
        <f>IF(F94+G94+H94+M94=0,"Uncheck to Hide","")</f>
        <v>Uncheck to Hide</v>
      </c>
      <c r="B94" s="74" t="str">
        <f>B86</f>
        <v>6330-200  LEASING SALARY</v>
      </c>
      <c r="C94" s="75" t="s">
        <v>128</v>
      </c>
      <c r="D94" s="76"/>
      <c r="E94" s="77"/>
      <c r="F94" s="78"/>
      <c r="G94" s="125"/>
      <c r="H94" s="80"/>
      <c r="I94" s="80">
        <v>15</v>
      </c>
      <c r="J94" s="81"/>
      <c r="K94" s="82"/>
      <c r="L94" s="83"/>
      <c r="M94" s="84">
        <f>ROUND(K94*(1+L94),2)</f>
        <v>0</v>
      </c>
      <c r="N94" s="85"/>
      <c r="O94" s="85"/>
      <c r="P94" s="86">
        <f>IF(SUM(S95:AD95)&gt;0,1,0)</f>
        <v>0</v>
      </c>
      <c r="Q94" s="87">
        <f>M94*N94*52</f>
        <v>0</v>
      </c>
      <c r="R94" s="88"/>
      <c r="S94" s="89">
        <f t="shared" ref="S94:AD94" si="79">IF(S95="",$M94*$N94*2*S$7+$P96*S$7+$O94*$M94*1.5*2*S$7+IF($O$10="Y",(SUMIF($CS$3:$DT$3,S$1,$CS$8:$DT$8)-SUMIF($CS$3:$DT$3,R$1,$CS$8:$DT$8))*($M94*$N94*2*S$7+$P96*S$7+$O94*$M94*1.5*2*S$7)/(S$7*14),0)+IF($O$11="Y",(SUMIF($CS$3:$DT$3,S$1,$CS$8:$DT$8)*CU$11-SUMIF($CS$3:$DT$3,R$1,$CS$8:$DT$8)*CT$11)*($M94*$N94*2*S$7+$P96*S$7+$O94*$M94*1.5*2*S$7)/(S$7*14),0),S95)</f>
        <v>0</v>
      </c>
      <c r="T94" s="89">
        <f t="shared" si="79"/>
        <v>0</v>
      </c>
      <c r="U94" s="89">
        <f t="shared" si="79"/>
        <v>0</v>
      </c>
      <c r="V94" s="89">
        <f t="shared" si="79"/>
        <v>0</v>
      </c>
      <c r="W94" s="89">
        <f t="shared" si="79"/>
        <v>0</v>
      </c>
      <c r="X94" s="89">
        <f t="shared" si="79"/>
        <v>0</v>
      </c>
      <c r="Y94" s="89">
        <f t="shared" si="79"/>
        <v>0</v>
      </c>
      <c r="Z94" s="89">
        <f t="shared" si="79"/>
        <v>0</v>
      </c>
      <c r="AA94" s="89">
        <f t="shared" si="79"/>
        <v>0</v>
      </c>
      <c r="AB94" s="89">
        <f t="shared" si="79"/>
        <v>0</v>
      </c>
      <c r="AC94" s="89">
        <f t="shared" si="79"/>
        <v>0</v>
      </c>
      <c r="AD94" s="89">
        <f t="shared" si="79"/>
        <v>0</v>
      </c>
      <c r="AE94" s="90">
        <f>SUM(S94:AD94)</f>
        <v>0</v>
      </c>
    </row>
    <row r="95" spans="1:52" hidden="1">
      <c r="A95" s="1" t="str">
        <f>A94</f>
        <v>Uncheck to Hide</v>
      </c>
      <c r="B95" s="92"/>
      <c r="C95" s="93"/>
      <c r="D95" s="93"/>
      <c r="E95" s="93"/>
      <c r="F95" s="93"/>
      <c r="G95" s="93"/>
      <c r="H95" s="93"/>
      <c r="I95" s="93"/>
      <c r="J95" s="93"/>
      <c r="K95" s="93"/>
      <c r="L95" s="93"/>
      <c r="M95" s="93"/>
      <c r="N95" s="93"/>
      <c r="O95" s="93"/>
      <c r="P95" s="93"/>
      <c r="Q95" s="93"/>
      <c r="R95" s="93"/>
      <c r="S95" s="94"/>
      <c r="T95" s="94"/>
      <c r="U95" s="94"/>
      <c r="V95" s="94"/>
      <c r="W95" s="94"/>
      <c r="X95" s="94"/>
      <c r="Y95" s="94"/>
      <c r="Z95" s="94"/>
      <c r="AA95" s="94"/>
      <c r="AB95" s="94"/>
      <c r="AC95" s="94"/>
      <c r="AD95" s="94"/>
      <c r="AE95" s="93"/>
      <c r="AG95" s="95">
        <f>IF(AE94=0,0,1)</f>
        <v>0</v>
      </c>
      <c r="AH95" s="6" t="str">
        <f>IF(AG95=0,".",IF($AG$46&gt;1,", 1 at "," at ")&amp;"$"&amp;ROUND(M94,2)&amp;"/hour, working "&amp;N94&amp;" hours per week with"&amp;IF(E94&gt;0," housing.","out housing."))</f>
        <v>.</v>
      </c>
    </row>
    <row r="96" spans="1:52" s="58" customFormat="1" ht="12.75" hidden="1" customHeight="1">
      <c r="A96" s="96" t="s">
        <v>113</v>
      </c>
      <c r="B96" s="129"/>
      <c r="C96" s="130"/>
      <c r="D96" s="131"/>
      <c r="E96" s="131"/>
      <c r="F96" s="131"/>
      <c r="G96" s="132"/>
      <c r="H96" s="132"/>
      <c r="I96" s="132"/>
      <c r="J96" s="132"/>
      <c r="K96" s="132"/>
      <c r="L96" s="132"/>
      <c r="M96" s="133"/>
      <c r="N96" s="134"/>
      <c r="O96" s="134"/>
      <c r="P96" s="103">
        <f>+M94*N94*R94/AE$7</f>
        <v>0</v>
      </c>
      <c r="Q96" s="135"/>
      <c r="S96" s="106">
        <f t="shared" ref="S96:AD96" si="80">IF(S95&gt;0,S95-$P96*S$7,+S94-$P96*S$7)</f>
        <v>0</v>
      </c>
      <c r="T96" s="106">
        <f t="shared" si="80"/>
        <v>0</v>
      </c>
      <c r="U96" s="106">
        <f t="shared" si="80"/>
        <v>0</v>
      </c>
      <c r="V96" s="106">
        <f t="shared" si="80"/>
        <v>0</v>
      </c>
      <c r="W96" s="106">
        <f t="shared" si="80"/>
        <v>0</v>
      </c>
      <c r="X96" s="106">
        <f t="shared" si="80"/>
        <v>0</v>
      </c>
      <c r="Y96" s="106">
        <f t="shared" si="80"/>
        <v>0</v>
      </c>
      <c r="Z96" s="106">
        <f t="shared" si="80"/>
        <v>0</v>
      </c>
      <c r="AA96" s="106">
        <f t="shared" si="80"/>
        <v>0</v>
      </c>
      <c r="AB96" s="106">
        <f t="shared" si="80"/>
        <v>0</v>
      </c>
      <c r="AC96" s="106">
        <f t="shared" si="80"/>
        <v>0</v>
      </c>
      <c r="AD96" s="106">
        <f t="shared" si="80"/>
        <v>0</v>
      </c>
      <c r="AE96" s="136"/>
      <c r="AP96" s="108"/>
      <c r="AQ96" s="108"/>
      <c r="AR96" s="108"/>
      <c r="AS96" s="108"/>
    </row>
    <row r="97" spans="1:52" s="58" customFormat="1" ht="12.75" hidden="1" customHeight="1">
      <c r="A97" s="96" t="s">
        <v>113</v>
      </c>
      <c r="B97" s="129"/>
      <c r="C97" s="130"/>
      <c r="D97" s="131"/>
      <c r="E97" s="131"/>
      <c r="F97" s="131"/>
      <c r="G97" s="132"/>
      <c r="H97" s="132"/>
      <c r="I97" s="132"/>
      <c r="J97" s="132"/>
      <c r="K97" s="132"/>
      <c r="L97" s="132"/>
      <c r="M97" s="133"/>
      <c r="N97" s="134"/>
      <c r="O97" s="134"/>
      <c r="P97" s="131"/>
      <c r="Q97" s="135"/>
      <c r="R97" s="135"/>
      <c r="S97" s="137">
        <f>+S96</f>
        <v>0</v>
      </c>
      <c r="T97" s="137">
        <f t="shared" ref="T97:AD97" si="81">+T96+S97</f>
        <v>0</v>
      </c>
      <c r="U97" s="137">
        <f t="shared" si="81"/>
        <v>0</v>
      </c>
      <c r="V97" s="137">
        <f t="shared" si="81"/>
        <v>0</v>
      </c>
      <c r="W97" s="137">
        <f t="shared" si="81"/>
        <v>0</v>
      </c>
      <c r="X97" s="137">
        <f t="shared" si="81"/>
        <v>0</v>
      </c>
      <c r="Y97" s="137">
        <f t="shared" si="81"/>
        <v>0</v>
      </c>
      <c r="Z97" s="137">
        <f t="shared" si="81"/>
        <v>0</v>
      </c>
      <c r="AA97" s="137">
        <f t="shared" si="81"/>
        <v>0</v>
      </c>
      <c r="AB97" s="137">
        <f t="shared" si="81"/>
        <v>0</v>
      </c>
      <c r="AC97" s="137">
        <f t="shared" si="81"/>
        <v>0</v>
      </c>
      <c r="AD97" s="137">
        <f t="shared" si="81"/>
        <v>0</v>
      </c>
      <c r="AE97" s="136"/>
      <c r="AP97" s="108"/>
      <c r="AQ97" s="108"/>
      <c r="AR97" s="108"/>
      <c r="AS97" s="108"/>
    </row>
    <row r="98" spans="1:52" hidden="1">
      <c r="A98" s="1" t="str">
        <f>A95</f>
        <v>Uncheck to Hide</v>
      </c>
      <c r="B98" s="128"/>
      <c r="C98" s="112" t="s">
        <v>38</v>
      </c>
      <c r="D98" s="119"/>
      <c r="E98" s="120"/>
      <c r="F98" s="120"/>
      <c r="G98" s="120"/>
      <c r="H98" s="120"/>
      <c r="I98" s="120"/>
      <c r="J98" s="120"/>
      <c r="K98" s="120"/>
      <c r="L98" s="120"/>
      <c r="M98" s="120"/>
      <c r="N98" s="120"/>
      <c r="O98" s="120"/>
      <c r="P98" s="120"/>
      <c r="Q98" s="120"/>
      <c r="R98" s="120"/>
      <c r="S98" s="114">
        <f t="shared" ref="S98:AD98" si="82">IF($E$9="CA",IF(R97&lt;7000,$E$5*S96,($E$5-0.043)*S96),IF($E$9="IL",IF(R97&lt;12960,$E$5*S96,($E$5-0.04125)*S96),IF($E$9="PA",IF(R97&lt;10000,$E$5*S96,($E$5-0.071)*S96),IF($E$9="TX",IF(R97&lt;9000,$E$5*S96,($E$5-0.0363)*S96),$E$5*S96))))</f>
        <v>0</v>
      </c>
      <c r="T98" s="114">
        <f t="shared" si="82"/>
        <v>0</v>
      </c>
      <c r="U98" s="114">
        <f t="shared" si="82"/>
        <v>0</v>
      </c>
      <c r="V98" s="114">
        <f t="shared" si="82"/>
        <v>0</v>
      </c>
      <c r="W98" s="114">
        <f t="shared" si="82"/>
        <v>0</v>
      </c>
      <c r="X98" s="114">
        <f t="shared" si="82"/>
        <v>0</v>
      </c>
      <c r="Y98" s="114">
        <f t="shared" si="82"/>
        <v>0</v>
      </c>
      <c r="Z98" s="114">
        <f t="shared" si="82"/>
        <v>0</v>
      </c>
      <c r="AA98" s="114">
        <f t="shared" si="82"/>
        <v>0</v>
      </c>
      <c r="AB98" s="114">
        <f t="shared" si="82"/>
        <v>0</v>
      </c>
      <c r="AC98" s="114">
        <f t="shared" si="82"/>
        <v>0</v>
      </c>
      <c r="AD98" s="114">
        <f t="shared" si="82"/>
        <v>0</v>
      </c>
      <c r="AE98" s="115"/>
    </row>
    <row r="99" spans="1:52" hidden="1">
      <c r="A99" s="1" t="str">
        <f>A98</f>
        <v>Uncheck to Hide</v>
      </c>
      <c r="B99" s="128"/>
      <c r="C99" s="112" t="s">
        <v>114</v>
      </c>
      <c r="D99" s="119"/>
      <c r="E99" s="120"/>
      <c r="F99" s="120"/>
      <c r="G99" s="120"/>
      <c r="H99" s="120"/>
      <c r="I99" s="120"/>
      <c r="J99" s="120"/>
      <c r="K99" s="120"/>
      <c r="L99" s="120"/>
      <c r="M99" s="120"/>
      <c r="N99" s="120"/>
      <c r="O99" s="120"/>
      <c r="P99" s="120"/>
      <c r="Q99" s="120"/>
      <c r="R99" s="120"/>
      <c r="S99" s="117">
        <f t="shared" ref="S99:AD99" si="83">IF($E$9="WA",IF(S$1&lt;$G$6,$E$6*$N94*2*S$7+$CA$5*S96,$F$6*$N94*2*S$7+$CA$5*S96),IF($E$9="NV",IF(R97&gt;36000,0,IF(S$1&lt;$G$6,$E$6*S96,$F$6*S96)),IF(S$1&lt;$G$6,$E$6*S96,$F$6*S96)))</f>
        <v>0</v>
      </c>
      <c r="T99" s="117">
        <f t="shared" si="83"/>
        <v>0</v>
      </c>
      <c r="U99" s="117">
        <f t="shared" si="83"/>
        <v>0</v>
      </c>
      <c r="V99" s="117">
        <f t="shared" si="83"/>
        <v>0</v>
      </c>
      <c r="W99" s="117">
        <f t="shared" si="83"/>
        <v>0</v>
      </c>
      <c r="X99" s="117">
        <f t="shared" si="83"/>
        <v>0</v>
      </c>
      <c r="Y99" s="117">
        <f t="shared" si="83"/>
        <v>0</v>
      </c>
      <c r="Z99" s="117">
        <f t="shared" si="83"/>
        <v>0</v>
      </c>
      <c r="AA99" s="117">
        <f t="shared" si="83"/>
        <v>0</v>
      </c>
      <c r="AB99" s="117">
        <f t="shared" si="83"/>
        <v>0</v>
      </c>
      <c r="AC99" s="117">
        <f t="shared" si="83"/>
        <v>0</v>
      </c>
      <c r="AD99" s="117">
        <f t="shared" si="83"/>
        <v>0</v>
      </c>
      <c r="AE99" s="115"/>
    </row>
    <row r="100" spans="1:52" ht="13" hidden="1">
      <c r="A100" s="1" t="str">
        <f>A99</f>
        <v>Uncheck to Hide</v>
      </c>
      <c r="B100" s="111"/>
      <c r="C100" s="118" t="s">
        <v>86</v>
      </c>
      <c r="D100" s="113"/>
      <c r="E100" s="113"/>
      <c r="F100" s="113"/>
      <c r="G100" s="113"/>
      <c r="H100" s="113"/>
      <c r="I100" s="113"/>
      <c r="J100" s="113"/>
      <c r="K100" s="113"/>
      <c r="L100" s="113"/>
      <c r="M100" s="113"/>
      <c r="N100" s="113"/>
      <c r="O100" s="113"/>
      <c r="P100" s="113"/>
      <c r="Q100" s="113"/>
      <c r="R100" s="113"/>
      <c r="S100" s="117">
        <f t="shared" ref="S100:AD100" si="84">IF(S94=0,0,$H$11/26*S$7*IF(OR($G94=0,$G94=1),1,$G94))</f>
        <v>0</v>
      </c>
      <c r="T100" s="117">
        <f t="shared" si="84"/>
        <v>0</v>
      </c>
      <c r="U100" s="117">
        <f t="shared" si="84"/>
        <v>0</v>
      </c>
      <c r="V100" s="117">
        <f t="shared" si="84"/>
        <v>0</v>
      </c>
      <c r="W100" s="117">
        <f t="shared" si="84"/>
        <v>0</v>
      </c>
      <c r="X100" s="117">
        <f t="shared" si="84"/>
        <v>0</v>
      </c>
      <c r="Y100" s="117">
        <f t="shared" si="84"/>
        <v>0</v>
      </c>
      <c r="Z100" s="117">
        <f t="shared" si="84"/>
        <v>0</v>
      </c>
      <c r="AA100" s="117">
        <f t="shared" si="84"/>
        <v>0</v>
      </c>
      <c r="AB100" s="117">
        <f t="shared" si="84"/>
        <v>0</v>
      </c>
      <c r="AC100" s="117">
        <f t="shared" si="84"/>
        <v>0</v>
      </c>
      <c r="AD100" s="117">
        <f t="shared" si="84"/>
        <v>0</v>
      </c>
      <c r="AE100" s="115"/>
      <c r="AZ100" s="20"/>
    </row>
    <row r="101" spans="1:52" hidden="1">
      <c r="A101" s="1" t="str">
        <f>A99</f>
        <v>Uncheck to Hide</v>
      </c>
      <c r="B101" s="128"/>
      <c r="C101" s="118" t="str">
        <f>IF($E$9="CA","",$C$269)</f>
        <v>HEALTH INS. &amp; EMPL. BENEFITS</v>
      </c>
      <c r="D101" s="119"/>
      <c r="E101" s="120"/>
      <c r="F101" s="120"/>
      <c r="G101" s="120"/>
      <c r="H101" s="120"/>
      <c r="I101" s="120"/>
      <c r="J101" s="120"/>
      <c r="K101" s="120"/>
      <c r="L101" s="120"/>
      <c r="M101" s="120"/>
      <c r="N101" s="120"/>
      <c r="O101" s="120"/>
      <c r="P101" s="120"/>
      <c r="Q101" s="120"/>
      <c r="R101" s="120"/>
      <c r="S101" s="121">
        <f t="shared" ref="S101:AD101" si="85">IF(OR($E$9="CA",$E$9="CO",$E$9="OR",$E$9="WA"),0,IF($G94=0,0,$G94*$E$7*S$8/2+S96*$CC$6))</f>
        <v>0</v>
      </c>
      <c r="T101" s="121">
        <f t="shared" si="85"/>
        <v>0</v>
      </c>
      <c r="U101" s="121">
        <f t="shared" si="85"/>
        <v>0</v>
      </c>
      <c r="V101" s="121">
        <f t="shared" si="85"/>
        <v>0</v>
      </c>
      <c r="W101" s="121">
        <f t="shared" si="85"/>
        <v>0</v>
      </c>
      <c r="X101" s="121">
        <f t="shared" si="85"/>
        <v>0</v>
      </c>
      <c r="Y101" s="121">
        <f t="shared" si="85"/>
        <v>0</v>
      </c>
      <c r="Z101" s="121">
        <f t="shared" si="85"/>
        <v>0</v>
      </c>
      <c r="AA101" s="121">
        <f t="shared" si="85"/>
        <v>0</v>
      </c>
      <c r="AB101" s="121">
        <f t="shared" si="85"/>
        <v>0</v>
      </c>
      <c r="AC101" s="121">
        <f t="shared" si="85"/>
        <v>0</v>
      </c>
      <c r="AD101" s="121">
        <f t="shared" si="85"/>
        <v>0</v>
      </c>
      <c r="AE101" s="115"/>
    </row>
    <row r="102" spans="1:52">
      <c r="A102" s="1" t="str">
        <f>IF(F102+G102+H102+M102=0,"Uncheck to Hide","")</f>
        <v/>
      </c>
      <c r="B102" s="74" t="s">
        <v>129</v>
      </c>
      <c r="C102" s="75" t="s">
        <v>130</v>
      </c>
      <c r="D102" s="76" t="s">
        <v>131</v>
      </c>
      <c r="E102" s="77"/>
      <c r="F102" s="78">
        <v>1</v>
      </c>
      <c r="G102" s="125">
        <v>1</v>
      </c>
      <c r="H102" s="80"/>
      <c r="I102" s="80">
        <v>35</v>
      </c>
      <c r="J102" s="81">
        <v>45413</v>
      </c>
      <c r="K102" s="82">
        <v>40</v>
      </c>
      <c r="L102" s="83"/>
      <c r="M102" s="84">
        <f>ROUND(K102*(1+L102),2)</f>
        <v>40</v>
      </c>
      <c r="N102" s="85">
        <v>16</v>
      </c>
      <c r="O102" s="85"/>
      <c r="P102" s="86">
        <f>IF(SUM(S103:AD103)&gt;0,1,0)</f>
        <v>0</v>
      </c>
      <c r="Q102" s="87">
        <f>M102*N102*52</f>
        <v>33280</v>
      </c>
      <c r="R102" s="88"/>
      <c r="S102" s="89">
        <f t="shared" ref="S102:AD102" si="86">IF(S103="",$M102*$N102*2*S$7+$P104*S$7+$O102*$M102*1.5*2*S$7+IF($O$10="Y",(SUMIF($CS$3:$DT$3,S$1,$CS$8:$DT$8)-SUMIF($CS$3:$DT$3,R$1,$CS$8:$DT$8))*($M102*$N102*2*S$7+$P104*S$7+$O102*$M102*1.5*2*S$7)/(S$7*14),0)+IF($O$11="Y",(SUMIF($CS$3:$DT$3,S$1,$CS$8:$DT$8)*CU$11-SUMIF($CS$3:$DT$3,R$1,$CS$8:$DT$8)*CT$11)*($M102*$N102*2*S$7+$P104*S$7+$O102*$M102*1.5*2*S$7)/(S$7*14),0),S103)</f>
        <v>2560</v>
      </c>
      <c r="T102" s="89">
        <f t="shared" si="86"/>
        <v>2560</v>
      </c>
      <c r="U102" s="89">
        <f t="shared" si="86"/>
        <v>2560</v>
      </c>
      <c r="V102" s="89">
        <f t="shared" si="86"/>
        <v>2560</v>
      </c>
      <c r="W102" s="89">
        <f t="shared" si="86"/>
        <v>2560</v>
      </c>
      <c r="X102" s="89">
        <f t="shared" si="86"/>
        <v>2560</v>
      </c>
      <c r="Y102" s="89">
        <f t="shared" si="86"/>
        <v>3840</v>
      </c>
      <c r="Z102" s="89">
        <f t="shared" si="86"/>
        <v>2560</v>
      </c>
      <c r="AA102" s="89">
        <f t="shared" si="86"/>
        <v>2560</v>
      </c>
      <c r="AB102" s="89">
        <f t="shared" si="86"/>
        <v>2560</v>
      </c>
      <c r="AC102" s="89">
        <f t="shared" si="86"/>
        <v>2560</v>
      </c>
      <c r="AD102" s="89">
        <f t="shared" si="86"/>
        <v>3840</v>
      </c>
      <c r="AE102" s="90">
        <f>SUM(S102:AD102)</f>
        <v>33280</v>
      </c>
    </row>
    <row r="103" spans="1:52">
      <c r="A103" s="1" t="str">
        <f>A102</f>
        <v/>
      </c>
      <c r="B103" s="92"/>
      <c r="C103" s="93"/>
      <c r="D103" s="93"/>
      <c r="E103" s="93"/>
      <c r="F103" s="93"/>
      <c r="G103" s="93"/>
      <c r="H103" s="93"/>
      <c r="I103" s="93"/>
      <c r="J103" s="93"/>
      <c r="K103" s="93"/>
      <c r="L103" s="93"/>
      <c r="M103" s="93"/>
      <c r="N103" s="93"/>
      <c r="O103" s="93"/>
      <c r="P103" s="93"/>
      <c r="Q103" s="93"/>
      <c r="R103" s="93"/>
      <c r="S103" s="94"/>
      <c r="T103" s="94"/>
      <c r="U103" s="94"/>
      <c r="V103" s="94"/>
      <c r="W103" s="94"/>
      <c r="X103" s="94"/>
      <c r="Y103" s="94"/>
      <c r="Z103" s="94"/>
      <c r="AA103" s="94"/>
      <c r="AB103" s="94"/>
      <c r="AC103" s="94"/>
      <c r="AD103" s="94"/>
      <c r="AE103" s="93"/>
      <c r="AG103" s="95"/>
    </row>
    <row r="104" spans="1:52" s="58" customFormat="1" hidden="1">
      <c r="A104" s="96" t="s">
        <v>113</v>
      </c>
      <c r="B104" s="129"/>
      <c r="C104" s="130"/>
      <c r="D104" s="131"/>
      <c r="E104" s="131"/>
      <c r="F104" s="131"/>
      <c r="G104" s="132"/>
      <c r="H104" s="132"/>
      <c r="I104" s="132"/>
      <c r="J104" s="132"/>
      <c r="K104" s="132"/>
      <c r="L104" s="132"/>
      <c r="M104" s="133"/>
      <c r="N104" s="134"/>
      <c r="O104" s="134"/>
      <c r="P104" s="103">
        <f>+M102*N102*R102/AE$7</f>
        <v>0</v>
      </c>
      <c r="Q104" s="135"/>
      <c r="S104" s="106">
        <f t="shared" ref="S104:AD104" si="87">IF(S103&gt;0,S103-$P104*S$7,+S102-$P104*S$7)</f>
        <v>2560</v>
      </c>
      <c r="T104" s="106">
        <f t="shared" si="87"/>
        <v>2560</v>
      </c>
      <c r="U104" s="106">
        <f t="shared" si="87"/>
        <v>2560</v>
      </c>
      <c r="V104" s="106">
        <f t="shared" si="87"/>
        <v>2560</v>
      </c>
      <c r="W104" s="106">
        <f t="shared" si="87"/>
        <v>2560</v>
      </c>
      <c r="X104" s="106">
        <f t="shared" si="87"/>
        <v>2560</v>
      </c>
      <c r="Y104" s="106">
        <f t="shared" si="87"/>
        <v>3840</v>
      </c>
      <c r="Z104" s="106">
        <f t="shared" si="87"/>
        <v>2560</v>
      </c>
      <c r="AA104" s="106">
        <f t="shared" si="87"/>
        <v>2560</v>
      </c>
      <c r="AB104" s="106">
        <f t="shared" si="87"/>
        <v>2560</v>
      </c>
      <c r="AC104" s="106">
        <f t="shared" si="87"/>
        <v>2560</v>
      </c>
      <c r="AD104" s="106">
        <f t="shared" si="87"/>
        <v>3840</v>
      </c>
      <c r="AE104" s="136"/>
      <c r="AP104" s="108"/>
      <c r="AQ104" s="108"/>
      <c r="AR104" s="108"/>
      <c r="AS104" s="108"/>
    </row>
    <row r="105" spans="1:52" s="58" customFormat="1" hidden="1">
      <c r="A105" s="96" t="s">
        <v>113</v>
      </c>
      <c r="B105" s="129"/>
      <c r="C105" s="130"/>
      <c r="D105" s="131"/>
      <c r="E105" s="131"/>
      <c r="F105" s="131"/>
      <c r="G105" s="132"/>
      <c r="H105" s="132"/>
      <c r="I105" s="132"/>
      <c r="J105" s="132"/>
      <c r="K105" s="132"/>
      <c r="L105" s="132"/>
      <c r="M105" s="133"/>
      <c r="N105" s="134"/>
      <c r="O105" s="134"/>
      <c r="P105" s="131"/>
      <c r="Q105" s="135"/>
      <c r="R105" s="135"/>
      <c r="S105" s="137">
        <f>+S104</f>
        <v>2560</v>
      </c>
      <c r="T105" s="137">
        <f t="shared" ref="T105:AD105" si="88">+T104+S105</f>
        <v>5120</v>
      </c>
      <c r="U105" s="137">
        <f t="shared" si="88"/>
        <v>7680</v>
      </c>
      <c r="V105" s="137">
        <f t="shared" si="88"/>
        <v>10240</v>
      </c>
      <c r="W105" s="137">
        <f t="shared" si="88"/>
        <v>12800</v>
      </c>
      <c r="X105" s="137">
        <f t="shared" si="88"/>
        <v>15360</v>
      </c>
      <c r="Y105" s="137">
        <f t="shared" si="88"/>
        <v>19200</v>
      </c>
      <c r="Z105" s="137">
        <f t="shared" si="88"/>
        <v>21760</v>
      </c>
      <c r="AA105" s="137">
        <f t="shared" si="88"/>
        <v>24320</v>
      </c>
      <c r="AB105" s="137">
        <f t="shared" si="88"/>
        <v>26880</v>
      </c>
      <c r="AC105" s="137">
        <f t="shared" si="88"/>
        <v>29440</v>
      </c>
      <c r="AD105" s="137">
        <f t="shared" si="88"/>
        <v>33280</v>
      </c>
      <c r="AE105" s="136"/>
      <c r="AP105" s="108"/>
      <c r="AQ105" s="108"/>
      <c r="AR105" s="108"/>
      <c r="AS105" s="108"/>
    </row>
    <row r="106" spans="1:52">
      <c r="A106" s="1" t="str">
        <f>A103</f>
        <v/>
      </c>
      <c r="B106" s="128"/>
      <c r="C106" s="112" t="s">
        <v>38</v>
      </c>
      <c r="D106" s="119"/>
      <c r="E106" s="120"/>
      <c r="F106" s="120"/>
      <c r="G106" s="120"/>
      <c r="H106" s="120"/>
      <c r="I106" s="120"/>
      <c r="J106" s="120"/>
      <c r="K106" s="120"/>
      <c r="L106" s="120"/>
      <c r="M106" s="120"/>
      <c r="N106" s="120"/>
      <c r="O106" s="120"/>
      <c r="P106" s="120"/>
      <c r="Q106" s="120"/>
      <c r="R106" s="120"/>
      <c r="S106" s="114">
        <f t="shared" ref="S106:AD106" si="89">IF($E$9="CA",IF(R105&lt;7000,$E$5*S104,($E$5-0.043)*S104),IF($E$9="IL",IF(R105&lt;12960,$E$5*S104,($E$5-0.04125)*S104),IF($E$9="PA",IF(R105&lt;10000,$E$5*S104,($E$5-0.071)*S104),IF($E$9="TX",IF(R105&lt;9000,$E$5*S104,($E$5-0.0363)*S104),$E$5*S104))))</f>
        <v>288.54784000000001</v>
      </c>
      <c r="T106" s="114">
        <f t="shared" si="89"/>
        <v>288.54784000000001</v>
      </c>
      <c r="U106" s="114">
        <f t="shared" si="89"/>
        <v>288.54784000000001</v>
      </c>
      <c r="V106" s="114">
        <f t="shared" si="89"/>
        <v>288.54784000000001</v>
      </c>
      <c r="W106" s="114">
        <f t="shared" si="89"/>
        <v>288.54784000000001</v>
      </c>
      <c r="X106" s="114">
        <f t="shared" si="89"/>
        <v>288.54784000000001</v>
      </c>
      <c r="Y106" s="114">
        <f t="shared" si="89"/>
        <v>432.82175999999998</v>
      </c>
      <c r="Z106" s="114">
        <f t="shared" si="89"/>
        <v>288.54784000000001</v>
      </c>
      <c r="AA106" s="114">
        <f t="shared" si="89"/>
        <v>288.54784000000001</v>
      </c>
      <c r="AB106" s="114">
        <f t="shared" si="89"/>
        <v>288.54784000000001</v>
      </c>
      <c r="AC106" s="114">
        <f t="shared" si="89"/>
        <v>288.54784000000001</v>
      </c>
      <c r="AD106" s="114">
        <f t="shared" si="89"/>
        <v>432.82175999999998</v>
      </c>
      <c r="AE106" s="115"/>
      <c r="AG106" s="69"/>
    </row>
    <row r="107" spans="1:52">
      <c r="A107" s="1" t="str">
        <f>A106</f>
        <v/>
      </c>
      <c r="B107" s="128"/>
      <c r="C107" s="112" t="s">
        <v>114</v>
      </c>
      <c r="D107" s="119"/>
      <c r="E107" s="120"/>
      <c r="F107" s="120"/>
      <c r="G107" s="120"/>
      <c r="H107" s="120"/>
      <c r="I107" s="120"/>
      <c r="J107" s="120"/>
      <c r="K107" s="120"/>
      <c r="L107" s="120"/>
      <c r="M107" s="120"/>
      <c r="N107" s="120"/>
      <c r="O107" s="120"/>
      <c r="P107" s="120"/>
      <c r="Q107" s="120"/>
      <c r="R107" s="120"/>
      <c r="S107" s="117">
        <f t="shared" ref="S107:AD107" si="90">IF($E$9="WA",IF(S$1&lt;$G$6,$E$6*$N102*2*S$7+$CA$5*S104,$F$6*$N102*2*S$7+$CA$5*S104),IF($E$9="NV",IF(R105&gt;36000,0,IF(S$1&lt;$G$6,$E$6*S104,$F$6*S104)),IF(S$1&lt;$G$6,$E$6*S104,$F$6*S104)))</f>
        <v>92.793599999999998</v>
      </c>
      <c r="T107" s="117">
        <f t="shared" si="90"/>
        <v>92.793599999999998</v>
      </c>
      <c r="U107" s="117">
        <f t="shared" si="90"/>
        <v>92.793599999999998</v>
      </c>
      <c r="V107" s="117">
        <f t="shared" si="90"/>
        <v>92.793599999999998</v>
      </c>
      <c r="W107" s="117">
        <f t="shared" si="90"/>
        <v>92.793599999999998</v>
      </c>
      <c r="X107" s="117">
        <f t="shared" si="90"/>
        <v>92.793599999999998</v>
      </c>
      <c r="Y107" s="117">
        <f t="shared" si="90"/>
        <v>139.19040000000001</v>
      </c>
      <c r="Z107" s="117">
        <f t="shared" si="90"/>
        <v>92.793599999999998</v>
      </c>
      <c r="AA107" s="117">
        <f t="shared" si="90"/>
        <v>92.793599999999998</v>
      </c>
      <c r="AB107" s="117">
        <f t="shared" si="90"/>
        <v>92.793599999999998</v>
      </c>
      <c r="AC107" s="117">
        <f t="shared" si="90"/>
        <v>92.793599999999998</v>
      </c>
      <c r="AD107" s="117">
        <f t="shared" si="90"/>
        <v>139.19040000000001</v>
      </c>
      <c r="AE107" s="115"/>
    </row>
    <row r="108" spans="1:52" ht="13">
      <c r="A108" s="1" t="str">
        <f>A107</f>
        <v/>
      </c>
      <c r="B108" s="111"/>
      <c r="C108" s="118" t="s">
        <v>86</v>
      </c>
      <c r="D108" s="113"/>
      <c r="E108" s="113"/>
      <c r="F108" s="113"/>
      <c r="G108" s="113"/>
      <c r="H108" s="113"/>
      <c r="I108" s="113"/>
      <c r="J108" s="113"/>
      <c r="K108" s="113"/>
      <c r="L108" s="113"/>
      <c r="M108" s="113"/>
      <c r="N108" s="113"/>
      <c r="O108" s="113"/>
      <c r="P108" s="113"/>
      <c r="Q108" s="113"/>
      <c r="R108" s="113"/>
      <c r="S108" s="117">
        <f t="shared" ref="S108:AD108" si="91">IF(S102=0,0,$H$11/26*S$7*IF(OR($G102=0,$G102=1),1,$G102))</f>
        <v>76.92307692307692</v>
      </c>
      <c r="T108" s="117">
        <f t="shared" si="91"/>
        <v>76.92307692307692</v>
      </c>
      <c r="U108" s="117">
        <f t="shared" si="91"/>
        <v>76.92307692307692</v>
      </c>
      <c r="V108" s="117">
        <f t="shared" si="91"/>
        <v>76.92307692307692</v>
      </c>
      <c r="W108" s="117">
        <f t="shared" si="91"/>
        <v>76.92307692307692</v>
      </c>
      <c r="X108" s="117">
        <f t="shared" si="91"/>
        <v>76.92307692307692</v>
      </c>
      <c r="Y108" s="117">
        <f t="shared" si="91"/>
        <v>115.38461538461539</v>
      </c>
      <c r="Z108" s="117">
        <f t="shared" si="91"/>
        <v>76.92307692307692</v>
      </c>
      <c r="AA108" s="117">
        <f t="shared" si="91"/>
        <v>76.92307692307692</v>
      </c>
      <c r="AB108" s="117">
        <f t="shared" si="91"/>
        <v>76.92307692307692</v>
      </c>
      <c r="AC108" s="117">
        <f t="shared" si="91"/>
        <v>76.92307692307692</v>
      </c>
      <c r="AD108" s="117">
        <f t="shared" si="91"/>
        <v>115.38461538461539</v>
      </c>
      <c r="AE108" s="115"/>
      <c r="AZ108" s="20"/>
    </row>
    <row r="109" spans="1:52">
      <c r="A109" s="1" t="str">
        <f>A107</f>
        <v/>
      </c>
      <c r="B109" s="128"/>
      <c r="C109" s="118" t="str">
        <f>IF($E$9="CA","",$C$269)</f>
        <v>HEALTH INS. &amp; EMPL. BENEFITS</v>
      </c>
      <c r="D109" s="119"/>
      <c r="E109" s="120"/>
      <c r="F109" s="120"/>
      <c r="G109" s="120"/>
      <c r="H109" s="120"/>
      <c r="I109" s="120"/>
      <c r="J109" s="120"/>
      <c r="K109" s="120"/>
      <c r="L109" s="120"/>
      <c r="M109" s="120"/>
      <c r="N109" s="120"/>
      <c r="O109" s="120"/>
      <c r="P109" s="120"/>
      <c r="Q109" s="120"/>
      <c r="R109" s="120"/>
      <c r="S109" s="121">
        <f t="shared" ref="S109:AD109" si="92">IF(OR($E$9="CA",$E$9="CO",$E$9="OR",$E$9="WA"),0,IF($G102=0,0,$G102*$E$7*S$8/2+S104*$CC$6))</f>
        <v>0</v>
      </c>
      <c r="T109" s="121">
        <f t="shared" si="92"/>
        <v>0</v>
      </c>
      <c r="U109" s="121">
        <f t="shared" si="92"/>
        <v>0</v>
      </c>
      <c r="V109" s="121">
        <f t="shared" si="92"/>
        <v>0</v>
      </c>
      <c r="W109" s="121">
        <f t="shared" si="92"/>
        <v>0</v>
      </c>
      <c r="X109" s="121">
        <f t="shared" si="92"/>
        <v>0</v>
      </c>
      <c r="Y109" s="121">
        <f t="shared" si="92"/>
        <v>0</v>
      </c>
      <c r="Z109" s="121">
        <f t="shared" si="92"/>
        <v>0</v>
      </c>
      <c r="AA109" s="121">
        <f t="shared" si="92"/>
        <v>0</v>
      </c>
      <c r="AB109" s="121">
        <f t="shared" si="92"/>
        <v>0</v>
      </c>
      <c r="AC109" s="121">
        <f t="shared" si="92"/>
        <v>0</v>
      </c>
      <c r="AD109" s="121">
        <f t="shared" si="92"/>
        <v>0</v>
      </c>
      <c r="AE109" s="115"/>
    </row>
    <row r="110" spans="1:52" hidden="1">
      <c r="A110" s="1" t="str">
        <f>IF(F110+G110+H110+M110=0,"Uncheck to Hide","")</f>
        <v>Uncheck to Hide</v>
      </c>
      <c r="B110" s="74" t="str">
        <f>B102</f>
        <v>6500-100  MAINT. SUPERVISOR - SALARY</v>
      </c>
      <c r="C110" s="75" t="s">
        <v>130</v>
      </c>
      <c r="D110" s="76"/>
      <c r="E110" s="77"/>
      <c r="F110" s="78"/>
      <c r="G110" s="125"/>
      <c r="H110" s="80"/>
      <c r="I110" s="80">
        <v>35</v>
      </c>
      <c r="J110" s="81"/>
      <c r="K110" s="82"/>
      <c r="L110" s="83"/>
      <c r="M110" s="84">
        <f>ROUND(K110*(1+L110),2)</f>
        <v>0</v>
      </c>
      <c r="N110" s="85"/>
      <c r="O110" s="85"/>
      <c r="P110" s="86">
        <f>IF(SUM(S111:AD111)&gt;0,1,0)</f>
        <v>0</v>
      </c>
      <c r="Q110" s="87">
        <f>M110*N110*52</f>
        <v>0</v>
      </c>
      <c r="R110" s="88"/>
      <c r="S110" s="89">
        <f t="shared" ref="S110:AD110" si="93">IF(S111="",$M110*$N110*2*S$7+$P112*S$7+$O110*$M110*1.5*2*S$7+IF($O$10="Y",(SUMIF($CS$3:$DT$3,S$1,$CS$8:$DT$8)-SUMIF($CS$3:$DT$3,R$1,$CS$8:$DT$8))*($M110*$N110*2*S$7+$P112*S$7+$O110*$M110*1.5*2*S$7)/(S$7*14),0)+IF($O$11="Y",(SUMIF($CS$3:$DT$3,S$1,$CS$8:$DT$8)*CU$11-SUMIF($CS$3:$DT$3,R$1,$CS$8:$DT$8)*CT$11)*($M110*$N110*2*S$7+$P112*S$7+$O110*$M110*1.5*2*S$7)/(S$7*14),0),S111)</f>
        <v>0</v>
      </c>
      <c r="T110" s="89">
        <f t="shared" si="93"/>
        <v>0</v>
      </c>
      <c r="U110" s="89">
        <f t="shared" si="93"/>
        <v>0</v>
      </c>
      <c r="V110" s="89">
        <f t="shared" si="93"/>
        <v>0</v>
      </c>
      <c r="W110" s="89">
        <f t="shared" si="93"/>
        <v>0</v>
      </c>
      <c r="X110" s="89">
        <f t="shared" si="93"/>
        <v>0</v>
      </c>
      <c r="Y110" s="89">
        <f t="shared" si="93"/>
        <v>0</v>
      </c>
      <c r="Z110" s="89">
        <f t="shared" si="93"/>
        <v>0</v>
      </c>
      <c r="AA110" s="89">
        <f t="shared" si="93"/>
        <v>0</v>
      </c>
      <c r="AB110" s="89">
        <f t="shared" si="93"/>
        <v>0</v>
      </c>
      <c r="AC110" s="89">
        <f t="shared" si="93"/>
        <v>0</v>
      </c>
      <c r="AD110" s="89">
        <f t="shared" si="93"/>
        <v>0</v>
      </c>
      <c r="AE110" s="90">
        <f>SUM(S110:AD110)</f>
        <v>0</v>
      </c>
    </row>
    <row r="111" spans="1:52" hidden="1">
      <c r="A111" s="1" t="str">
        <f>A110</f>
        <v>Uncheck to Hide</v>
      </c>
      <c r="B111" s="92"/>
      <c r="C111" s="93"/>
      <c r="D111" s="93"/>
      <c r="E111" s="93"/>
      <c r="F111" s="93"/>
      <c r="G111" s="93"/>
      <c r="H111" s="93"/>
      <c r="I111" s="93"/>
      <c r="J111" s="93"/>
      <c r="K111" s="93"/>
      <c r="L111" s="93"/>
      <c r="M111" s="93"/>
      <c r="N111" s="93"/>
      <c r="O111" s="93"/>
      <c r="P111" s="93"/>
      <c r="Q111" s="93"/>
      <c r="R111" s="93"/>
      <c r="S111" s="94"/>
      <c r="T111" s="94"/>
      <c r="U111" s="94"/>
      <c r="V111" s="94"/>
      <c r="W111" s="94"/>
      <c r="X111" s="94"/>
      <c r="Y111" s="94"/>
      <c r="Z111" s="94"/>
      <c r="AA111" s="94"/>
      <c r="AB111" s="94"/>
      <c r="AC111" s="94"/>
      <c r="AD111" s="94"/>
      <c r="AE111" s="93"/>
    </row>
    <row r="112" spans="1:52" s="58" customFormat="1" ht="12.75" hidden="1" customHeight="1">
      <c r="A112" s="96" t="s">
        <v>113</v>
      </c>
      <c r="B112" s="129"/>
      <c r="C112" s="130"/>
      <c r="D112" s="131"/>
      <c r="E112" s="131"/>
      <c r="F112" s="131"/>
      <c r="G112" s="132"/>
      <c r="H112" s="132"/>
      <c r="I112" s="132"/>
      <c r="J112" s="132"/>
      <c r="K112" s="132"/>
      <c r="L112" s="132"/>
      <c r="M112" s="133"/>
      <c r="N112" s="134"/>
      <c r="O112" s="134"/>
      <c r="P112" s="103">
        <f>+M110*N110*R110/AE$7</f>
        <v>0</v>
      </c>
      <c r="Q112" s="135"/>
      <c r="S112" s="106">
        <f t="shared" ref="S112:AD112" si="94">IF(S111&gt;0,S111-$P112*S$7,+S110-$P112*S$7)</f>
        <v>0</v>
      </c>
      <c r="T112" s="106">
        <f t="shared" si="94"/>
        <v>0</v>
      </c>
      <c r="U112" s="106">
        <f t="shared" si="94"/>
        <v>0</v>
      </c>
      <c r="V112" s="106">
        <f t="shared" si="94"/>
        <v>0</v>
      </c>
      <c r="W112" s="106">
        <f t="shared" si="94"/>
        <v>0</v>
      </c>
      <c r="X112" s="106">
        <f t="shared" si="94"/>
        <v>0</v>
      </c>
      <c r="Y112" s="106">
        <f t="shared" si="94"/>
        <v>0</v>
      </c>
      <c r="Z112" s="106">
        <f t="shared" si="94"/>
        <v>0</v>
      </c>
      <c r="AA112" s="106">
        <f t="shared" si="94"/>
        <v>0</v>
      </c>
      <c r="AB112" s="106">
        <f t="shared" si="94"/>
        <v>0</v>
      </c>
      <c r="AC112" s="106">
        <f t="shared" si="94"/>
        <v>0</v>
      </c>
      <c r="AD112" s="106">
        <f t="shared" si="94"/>
        <v>0</v>
      </c>
      <c r="AE112" s="136"/>
      <c r="AP112" s="108"/>
      <c r="AQ112" s="108"/>
      <c r="AR112" s="108"/>
      <c r="AS112" s="108"/>
    </row>
    <row r="113" spans="1:52" s="58" customFormat="1" ht="12.75" hidden="1" customHeight="1">
      <c r="A113" s="96" t="s">
        <v>113</v>
      </c>
      <c r="B113" s="129"/>
      <c r="C113" s="130"/>
      <c r="D113" s="131"/>
      <c r="E113" s="131"/>
      <c r="F113" s="131"/>
      <c r="G113" s="132"/>
      <c r="H113" s="132"/>
      <c r="I113" s="132"/>
      <c r="J113" s="132"/>
      <c r="K113" s="132"/>
      <c r="L113" s="132"/>
      <c r="M113" s="133"/>
      <c r="N113" s="134"/>
      <c r="O113" s="134"/>
      <c r="P113" s="131"/>
      <c r="Q113" s="135"/>
      <c r="R113" s="135"/>
      <c r="S113" s="137">
        <f>+S112</f>
        <v>0</v>
      </c>
      <c r="T113" s="137">
        <f t="shared" ref="T113:AD113" si="95">+T112+S113</f>
        <v>0</v>
      </c>
      <c r="U113" s="137">
        <f t="shared" si="95"/>
        <v>0</v>
      </c>
      <c r="V113" s="137">
        <f t="shared" si="95"/>
        <v>0</v>
      </c>
      <c r="W113" s="137">
        <f t="shared" si="95"/>
        <v>0</v>
      </c>
      <c r="X113" s="137">
        <f t="shared" si="95"/>
        <v>0</v>
      </c>
      <c r="Y113" s="137">
        <f t="shared" si="95"/>
        <v>0</v>
      </c>
      <c r="Z113" s="137">
        <f t="shared" si="95"/>
        <v>0</v>
      </c>
      <c r="AA113" s="137">
        <f t="shared" si="95"/>
        <v>0</v>
      </c>
      <c r="AB113" s="137">
        <f t="shared" si="95"/>
        <v>0</v>
      </c>
      <c r="AC113" s="137">
        <f t="shared" si="95"/>
        <v>0</v>
      </c>
      <c r="AD113" s="137">
        <f t="shared" si="95"/>
        <v>0</v>
      </c>
      <c r="AE113" s="136"/>
      <c r="AP113" s="108"/>
      <c r="AQ113" s="108"/>
      <c r="AR113" s="108"/>
      <c r="AS113" s="108"/>
    </row>
    <row r="114" spans="1:52" hidden="1">
      <c r="A114" s="1" t="str">
        <f>A111</f>
        <v>Uncheck to Hide</v>
      </c>
      <c r="B114" s="128"/>
      <c r="C114" s="112" t="s">
        <v>38</v>
      </c>
      <c r="D114" s="119"/>
      <c r="E114" s="120"/>
      <c r="F114" s="120"/>
      <c r="G114" s="120"/>
      <c r="H114" s="120"/>
      <c r="I114" s="120"/>
      <c r="J114" s="120"/>
      <c r="K114" s="120"/>
      <c r="L114" s="120"/>
      <c r="M114" s="120"/>
      <c r="N114" s="120"/>
      <c r="O114" s="120"/>
      <c r="P114" s="120"/>
      <c r="Q114" s="120"/>
      <c r="R114" s="120"/>
      <c r="S114" s="114">
        <f t="shared" ref="S114:AD114" si="96">IF($E$9="CA",IF(R113&lt;7000,$E$5*S112,($E$5-0.043)*S112),IF($E$9="IL",IF(R113&lt;12960,$E$5*S112,($E$5-0.04125)*S112),IF($E$9="PA",IF(R113&lt;10000,$E$5*S112,($E$5-0.071)*S112),IF($E$9="TX",IF(R113&lt;9000,$E$5*S112,($E$5-0.0363)*S112),$E$5*S112))))</f>
        <v>0</v>
      </c>
      <c r="T114" s="114">
        <f t="shared" si="96"/>
        <v>0</v>
      </c>
      <c r="U114" s="114">
        <f t="shared" si="96"/>
        <v>0</v>
      </c>
      <c r="V114" s="114">
        <f t="shared" si="96"/>
        <v>0</v>
      </c>
      <c r="W114" s="114">
        <f t="shared" si="96"/>
        <v>0</v>
      </c>
      <c r="X114" s="114">
        <f t="shared" si="96"/>
        <v>0</v>
      </c>
      <c r="Y114" s="114">
        <f t="shared" si="96"/>
        <v>0</v>
      </c>
      <c r="Z114" s="114">
        <f t="shared" si="96"/>
        <v>0</v>
      </c>
      <c r="AA114" s="114">
        <f t="shared" si="96"/>
        <v>0</v>
      </c>
      <c r="AB114" s="114">
        <f t="shared" si="96"/>
        <v>0</v>
      </c>
      <c r="AC114" s="114">
        <f t="shared" si="96"/>
        <v>0</v>
      </c>
      <c r="AD114" s="114">
        <f t="shared" si="96"/>
        <v>0</v>
      </c>
      <c r="AE114" s="115"/>
    </row>
    <row r="115" spans="1:52" hidden="1">
      <c r="A115" s="1" t="str">
        <f>A114</f>
        <v>Uncheck to Hide</v>
      </c>
      <c r="B115" s="128"/>
      <c r="C115" s="112" t="s">
        <v>114</v>
      </c>
      <c r="D115" s="119"/>
      <c r="E115" s="120"/>
      <c r="F115" s="120"/>
      <c r="G115" s="120"/>
      <c r="H115" s="120"/>
      <c r="I115" s="120"/>
      <c r="J115" s="120"/>
      <c r="K115" s="120"/>
      <c r="L115" s="120"/>
      <c r="M115" s="120"/>
      <c r="N115" s="120"/>
      <c r="O115" s="120"/>
      <c r="P115" s="120"/>
      <c r="Q115" s="120"/>
      <c r="R115" s="120"/>
      <c r="S115" s="117">
        <f t="shared" ref="S115:AD115" si="97">IF($E$9="WA",IF(S$1&lt;$G$6,$E$6*$N110*2*S$7+$CA$5*S112,$F$6*$N110*2*S$7+$CA$5*S112),IF($E$9="NV",IF(R113&gt;36000,0,IF(S$1&lt;$G$6,$E$6*S112,$F$6*S112)),IF(S$1&lt;$G$6,$E$6*S112,$F$6*S112)))</f>
        <v>0</v>
      </c>
      <c r="T115" s="117">
        <f t="shared" si="97"/>
        <v>0</v>
      </c>
      <c r="U115" s="117">
        <f t="shared" si="97"/>
        <v>0</v>
      </c>
      <c r="V115" s="117">
        <f t="shared" si="97"/>
        <v>0</v>
      </c>
      <c r="W115" s="117">
        <f t="shared" si="97"/>
        <v>0</v>
      </c>
      <c r="X115" s="117">
        <f t="shared" si="97"/>
        <v>0</v>
      </c>
      <c r="Y115" s="117">
        <f t="shared" si="97"/>
        <v>0</v>
      </c>
      <c r="Z115" s="117">
        <f t="shared" si="97"/>
        <v>0</v>
      </c>
      <c r="AA115" s="117">
        <f t="shared" si="97"/>
        <v>0</v>
      </c>
      <c r="AB115" s="117">
        <f t="shared" si="97"/>
        <v>0</v>
      </c>
      <c r="AC115" s="117">
        <f t="shared" si="97"/>
        <v>0</v>
      </c>
      <c r="AD115" s="117">
        <f t="shared" si="97"/>
        <v>0</v>
      </c>
      <c r="AE115" s="115"/>
    </row>
    <row r="116" spans="1:52" ht="13" hidden="1">
      <c r="A116" s="1" t="str">
        <f>A115</f>
        <v>Uncheck to Hide</v>
      </c>
      <c r="B116" s="111"/>
      <c r="C116" s="118" t="s">
        <v>86</v>
      </c>
      <c r="D116" s="113"/>
      <c r="E116" s="113"/>
      <c r="F116" s="113"/>
      <c r="G116" s="113"/>
      <c r="H116" s="113"/>
      <c r="I116" s="113"/>
      <c r="J116" s="113"/>
      <c r="K116" s="113"/>
      <c r="L116" s="113"/>
      <c r="M116" s="113"/>
      <c r="N116" s="113"/>
      <c r="O116" s="113"/>
      <c r="P116" s="113"/>
      <c r="Q116" s="113"/>
      <c r="R116" s="113"/>
      <c r="S116" s="117">
        <f t="shared" ref="S116:AD116" si="98">IF(S110=0,0,$H$11/26*S$7*IF(OR($G110=0,$G110=1),1,$G110))</f>
        <v>0</v>
      </c>
      <c r="T116" s="117">
        <f t="shared" si="98"/>
        <v>0</v>
      </c>
      <c r="U116" s="117">
        <f t="shared" si="98"/>
        <v>0</v>
      </c>
      <c r="V116" s="117">
        <f t="shared" si="98"/>
        <v>0</v>
      </c>
      <c r="W116" s="117">
        <f t="shared" si="98"/>
        <v>0</v>
      </c>
      <c r="X116" s="117">
        <f t="shared" si="98"/>
        <v>0</v>
      </c>
      <c r="Y116" s="117">
        <f t="shared" si="98"/>
        <v>0</v>
      </c>
      <c r="Z116" s="117">
        <f t="shared" si="98"/>
        <v>0</v>
      </c>
      <c r="AA116" s="117">
        <f t="shared" si="98"/>
        <v>0</v>
      </c>
      <c r="AB116" s="117">
        <f t="shared" si="98"/>
        <v>0</v>
      </c>
      <c r="AC116" s="117">
        <f t="shared" si="98"/>
        <v>0</v>
      </c>
      <c r="AD116" s="117">
        <f t="shared" si="98"/>
        <v>0</v>
      </c>
      <c r="AE116" s="115"/>
      <c r="AZ116" s="20"/>
    </row>
    <row r="117" spans="1:52" hidden="1">
      <c r="A117" s="1" t="str">
        <f>A115</f>
        <v>Uncheck to Hide</v>
      </c>
      <c r="B117" s="128"/>
      <c r="C117" s="118" t="str">
        <f>IF($E$9="CA","",$C$269)</f>
        <v>HEALTH INS. &amp; EMPL. BENEFITS</v>
      </c>
      <c r="D117" s="119"/>
      <c r="E117" s="120"/>
      <c r="F117" s="120"/>
      <c r="G117" s="120"/>
      <c r="H117" s="120"/>
      <c r="I117" s="120"/>
      <c r="J117" s="120"/>
      <c r="K117" s="120"/>
      <c r="L117" s="120"/>
      <c r="M117" s="120"/>
      <c r="N117" s="120"/>
      <c r="O117" s="120"/>
      <c r="P117" s="120"/>
      <c r="Q117" s="120"/>
      <c r="R117" s="120"/>
      <c r="S117" s="121">
        <f t="shared" ref="S117:AD117" si="99">IF(OR($E$9="CA",$E$9="CO",$E$9="OR",$E$9="WA"),0,IF($G110=0,0,$G110*$E$7*S$8/2+S112*$CC$6))</f>
        <v>0</v>
      </c>
      <c r="T117" s="121">
        <f t="shared" si="99"/>
        <v>0</v>
      </c>
      <c r="U117" s="121">
        <f t="shared" si="99"/>
        <v>0</v>
      </c>
      <c r="V117" s="121">
        <f t="shared" si="99"/>
        <v>0</v>
      </c>
      <c r="W117" s="121">
        <f t="shared" si="99"/>
        <v>0</v>
      </c>
      <c r="X117" s="121">
        <f t="shared" si="99"/>
        <v>0</v>
      </c>
      <c r="Y117" s="121">
        <f t="shared" si="99"/>
        <v>0</v>
      </c>
      <c r="Z117" s="121">
        <f t="shared" si="99"/>
        <v>0</v>
      </c>
      <c r="AA117" s="121">
        <f t="shared" si="99"/>
        <v>0</v>
      </c>
      <c r="AB117" s="121">
        <f t="shared" si="99"/>
        <v>0</v>
      </c>
      <c r="AC117" s="121">
        <f t="shared" si="99"/>
        <v>0</v>
      </c>
      <c r="AD117" s="121">
        <f t="shared" si="99"/>
        <v>0</v>
      </c>
      <c r="AE117" s="115"/>
    </row>
    <row r="118" spans="1:52">
      <c r="A118" s="1" t="str">
        <f>IF(F118+G118+H118+M118=0,"Uncheck to Hide","")</f>
        <v/>
      </c>
      <c r="B118" s="74" t="s">
        <v>132</v>
      </c>
      <c r="C118" s="75" t="s">
        <v>133</v>
      </c>
      <c r="D118" s="76" t="s">
        <v>134</v>
      </c>
      <c r="E118" s="77"/>
      <c r="F118" s="78">
        <v>1</v>
      </c>
      <c r="G118" s="125">
        <v>1</v>
      </c>
      <c r="H118" s="80"/>
      <c r="I118" s="80">
        <v>25</v>
      </c>
      <c r="J118" s="81" t="s">
        <v>135</v>
      </c>
      <c r="K118" s="82">
        <v>30</v>
      </c>
      <c r="L118" s="83"/>
      <c r="M118" s="84">
        <f>ROUND(K118*(1+L118),2)</f>
        <v>30</v>
      </c>
      <c r="N118" s="85">
        <v>40</v>
      </c>
      <c r="O118" s="85"/>
      <c r="P118" s="86">
        <f>IF(SUM(S119:AD119)&gt;0,1,0)</f>
        <v>0</v>
      </c>
      <c r="Q118" s="87">
        <f>M118*N118*52</f>
        <v>62400</v>
      </c>
      <c r="R118" s="88"/>
      <c r="S118" s="89">
        <f t="shared" ref="S118:AD118" si="100">IF(S119="",$M118*$N118*2*S$7+$P120*S$7+$O118*$M118*1.5*2*S$7+IF($O$10="Y",(SUMIF($CS$3:$DT$3,S$1,$CS$8:$DT$8)-SUMIF($CS$3:$DT$3,R$1,$CS$8:$DT$8))*($M118*$N118*2*S$7+$P120*S$7+$O118*$M118*1.5*2*S$7)/(S$7*14),0)+IF($O$11="Y",(SUMIF($CS$3:$DT$3,S$1,$CS$8:$DT$8)*CU$11-SUMIF($CS$3:$DT$3,R$1,$CS$8:$DT$8)*CT$11)*($M118*$N118*2*S$7+$P120*S$7+$O118*$M118*1.5*2*S$7)/(S$7*14),0),S119)</f>
        <v>4800</v>
      </c>
      <c r="T118" s="89">
        <f t="shared" si="100"/>
        <v>4800</v>
      </c>
      <c r="U118" s="89">
        <f t="shared" si="100"/>
        <v>4800</v>
      </c>
      <c r="V118" s="89">
        <f t="shared" si="100"/>
        <v>4800</v>
      </c>
      <c r="W118" s="89">
        <f t="shared" si="100"/>
        <v>4800</v>
      </c>
      <c r="X118" s="89">
        <f t="shared" si="100"/>
        <v>4800</v>
      </c>
      <c r="Y118" s="89">
        <f t="shared" si="100"/>
        <v>7200</v>
      </c>
      <c r="Z118" s="89">
        <f t="shared" si="100"/>
        <v>4800</v>
      </c>
      <c r="AA118" s="89">
        <f t="shared" si="100"/>
        <v>4800</v>
      </c>
      <c r="AB118" s="89">
        <f t="shared" si="100"/>
        <v>4800</v>
      </c>
      <c r="AC118" s="89">
        <f t="shared" si="100"/>
        <v>4800</v>
      </c>
      <c r="AD118" s="89">
        <f t="shared" si="100"/>
        <v>7200</v>
      </c>
      <c r="AE118" s="90">
        <f>SUM(S118:AD118)</f>
        <v>62400</v>
      </c>
      <c r="AG118" s="6">
        <f>SUBTOTAL(9,AG119:AG143)</f>
        <v>3</v>
      </c>
      <c r="AH118" s="6" t="str">
        <f>Payroll!AG118&amp;" maintenance technician"&amp;IF(Payroll!AG118&gt;0,"s","")&amp;Payroll!AH119&amp;Payroll!AH127&amp;Payroll!AH135&amp;Payroll!AH143&amp;Payroll!AH150&amp;Payroll!AH159&amp;Payroll!AH167</f>
        <v>3 maintenance technicians, 1 at $30/hour, working 40 hours per week without housing, 1 at $39/hour, working 40 hours per week without housing, 1 at $30/hour, working 40 hours per week without housing.0 painter..</v>
      </c>
    </row>
    <row r="119" spans="1:52">
      <c r="A119" s="1" t="str">
        <f>A118</f>
        <v/>
      </c>
      <c r="B119" s="92"/>
      <c r="C119" s="93"/>
      <c r="D119" s="93"/>
      <c r="E119" s="93"/>
      <c r="F119" s="93"/>
      <c r="G119" s="93"/>
      <c r="H119" s="93"/>
      <c r="I119" s="93"/>
      <c r="J119" s="93"/>
      <c r="K119" s="93"/>
      <c r="L119" s="93"/>
      <c r="M119" s="93"/>
      <c r="N119" s="93"/>
      <c r="O119" s="93"/>
      <c r="P119" s="93"/>
      <c r="Q119" s="93"/>
      <c r="R119" s="93"/>
      <c r="S119" s="94"/>
      <c r="T119" s="94"/>
      <c r="U119" s="94"/>
      <c r="V119" s="94"/>
      <c r="W119" s="94"/>
      <c r="X119" s="94"/>
      <c r="Y119" s="94"/>
      <c r="Z119" s="94"/>
      <c r="AA119" s="94"/>
      <c r="AB119" s="94"/>
      <c r="AC119" s="94"/>
      <c r="AD119" s="94"/>
      <c r="AE119" s="93"/>
      <c r="AG119" s="95">
        <f>IF(AE118=0,0,1)</f>
        <v>1</v>
      </c>
      <c r="AH119" s="6" t="str">
        <f>IF(AG119=0,"",IF($AG$118&gt;1,", 1 at "," at ")&amp;"$"&amp;ROUND(M118,2)&amp;"/hour, working "&amp;N118&amp;" hours per week with"&amp;IF(E118&gt;0," housing","out housing"))</f>
        <v>, 1 at $30/hour, working 40 hours per week without housing</v>
      </c>
    </row>
    <row r="120" spans="1:52" s="58" customFormat="1" ht="12.75" hidden="1" customHeight="1">
      <c r="A120" s="96" t="s">
        <v>113</v>
      </c>
      <c r="B120" s="129"/>
      <c r="C120" s="130"/>
      <c r="D120" s="131"/>
      <c r="E120" s="131"/>
      <c r="F120" s="131"/>
      <c r="G120" s="132"/>
      <c r="H120" s="132"/>
      <c r="I120" s="132"/>
      <c r="J120" s="132"/>
      <c r="K120" s="132"/>
      <c r="L120" s="132"/>
      <c r="M120" s="133"/>
      <c r="N120" s="134"/>
      <c r="O120" s="134"/>
      <c r="P120" s="103">
        <f>+M118*N118*R118/AE$7</f>
        <v>0</v>
      </c>
      <c r="Q120" s="135"/>
      <c r="S120" s="106">
        <f t="shared" ref="S120:AD120" si="101">IF(S119&gt;0,S119-$P120*S$7,+S118-$P120*S$7)</f>
        <v>4800</v>
      </c>
      <c r="T120" s="106">
        <f t="shared" si="101"/>
        <v>4800</v>
      </c>
      <c r="U120" s="106">
        <f t="shared" si="101"/>
        <v>4800</v>
      </c>
      <c r="V120" s="106">
        <f t="shared" si="101"/>
        <v>4800</v>
      </c>
      <c r="W120" s="106">
        <f t="shared" si="101"/>
        <v>4800</v>
      </c>
      <c r="X120" s="106">
        <f t="shared" si="101"/>
        <v>4800</v>
      </c>
      <c r="Y120" s="106">
        <f t="shared" si="101"/>
        <v>7200</v>
      </c>
      <c r="Z120" s="106">
        <f t="shared" si="101"/>
        <v>4800</v>
      </c>
      <c r="AA120" s="106">
        <f t="shared" si="101"/>
        <v>4800</v>
      </c>
      <c r="AB120" s="106">
        <f t="shared" si="101"/>
        <v>4800</v>
      </c>
      <c r="AC120" s="106">
        <f t="shared" si="101"/>
        <v>4800</v>
      </c>
      <c r="AD120" s="106">
        <f t="shared" si="101"/>
        <v>7200</v>
      </c>
      <c r="AE120" s="136"/>
      <c r="AP120" s="108"/>
      <c r="AQ120" s="108"/>
      <c r="AR120" s="108"/>
      <c r="AS120" s="108"/>
    </row>
    <row r="121" spans="1:52" s="58" customFormat="1" ht="12.75" hidden="1" customHeight="1">
      <c r="A121" s="96" t="s">
        <v>113</v>
      </c>
      <c r="B121" s="129"/>
      <c r="C121" s="130"/>
      <c r="D121" s="131"/>
      <c r="E121" s="131"/>
      <c r="F121" s="131"/>
      <c r="G121" s="132"/>
      <c r="H121" s="132"/>
      <c r="I121" s="132"/>
      <c r="J121" s="132"/>
      <c r="K121" s="132"/>
      <c r="L121" s="132"/>
      <c r="M121" s="133"/>
      <c r="N121" s="134"/>
      <c r="O121" s="134"/>
      <c r="P121" s="131"/>
      <c r="Q121" s="135"/>
      <c r="R121" s="135"/>
      <c r="S121" s="137">
        <f>+S120</f>
        <v>4800</v>
      </c>
      <c r="T121" s="137">
        <f t="shared" ref="T121:AD121" si="102">+T120+S121</f>
        <v>9600</v>
      </c>
      <c r="U121" s="137">
        <f t="shared" si="102"/>
        <v>14400</v>
      </c>
      <c r="V121" s="137">
        <f t="shared" si="102"/>
        <v>19200</v>
      </c>
      <c r="W121" s="137">
        <f t="shared" si="102"/>
        <v>24000</v>
      </c>
      <c r="X121" s="137">
        <f t="shared" si="102"/>
        <v>28800</v>
      </c>
      <c r="Y121" s="137">
        <f t="shared" si="102"/>
        <v>36000</v>
      </c>
      <c r="Z121" s="137">
        <f t="shared" si="102"/>
        <v>40800</v>
      </c>
      <c r="AA121" s="137">
        <f t="shared" si="102"/>
        <v>45600</v>
      </c>
      <c r="AB121" s="137">
        <f t="shared" si="102"/>
        <v>50400</v>
      </c>
      <c r="AC121" s="137">
        <f t="shared" si="102"/>
        <v>55200</v>
      </c>
      <c r="AD121" s="137">
        <f t="shared" si="102"/>
        <v>62400</v>
      </c>
      <c r="AE121" s="136"/>
      <c r="AP121" s="108"/>
      <c r="AQ121" s="108"/>
      <c r="AR121" s="108"/>
      <c r="AS121" s="108"/>
    </row>
    <row r="122" spans="1:52">
      <c r="A122" s="1" t="str">
        <f>A119</f>
        <v/>
      </c>
      <c r="B122" s="128"/>
      <c r="C122" s="112" t="s">
        <v>38</v>
      </c>
      <c r="D122" s="119"/>
      <c r="E122" s="120"/>
      <c r="F122" s="120"/>
      <c r="G122" s="120"/>
      <c r="H122" s="120"/>
      <c r="I122" s="120"/>
      <c r="J122" s="120"/>
      <c r="K122" s="120"/>
      <c r="L122" s="120"/>
      <c r="M122" s="120"/>
      <c r="N122" s="120"/>
      <c r="O122" s="120"/>
      <c r="P122" s="120"/>
      <c r="Q122" s="120"/>
      <c r="R122" s="120"/>
      <c r="S122" s="114">
        <f t="shared" ref="S122:AD122" si="103">IF($E$9="CA",IF(R121&lt;7000,$E$5*S120,($E$5-0.043)*S120),IF($E$9="IL",IF(R121&lt;12960,$E$5*S120,($E$5-0.04125)*S120),IF($E$9="PA",IF(R121&lt;10000,$E$5*S120,($E$5-0.071)*S120),IF($E$9="TX",IF(R121&lt;9000,$E$5*S120,($E$5-0.0363)*S120),$E$5*S120))))</f>
        <v>541.02719999999999</v>
      </c>
      <c r="T122" s="114">
        <f t="shared" si="103"/>
        <v>541.02719999999999</v>
      </c>
      <c r="U122" s="114">
        <f t="shared" si="103"/>
        <v>541.02719999999999</v>
      </c>
      <c r="V122" s="114">
        <f t="shared" si="103"/>
        <v>541.02719999999999</v>
      </c>
      <c r="W122" s="114">
        <f t="shared" si="103"/>
        <v>541.02719999999999</v>
      </c>
      <c r="X122" s="114">
        <f t="shared" si="103"/>
        <v>541.02719999999999</v>
      </c>
      <c r="Y122" s="114">
        <f t="shared" si="103"/>
        <v>811.54079999999999</v>
      </c>
      <c r="Z122" s="114">
        <f t="shared" si="103"/>
        <v>541.02719999999999</v>
      </c>
      <c r="AA122" s="114">
        <f t="shared" si="103"/>
        <v>541.02719999999999</v>
      </c>
      <c r="AB122" s="114">
        <f t="shared" si="103"/>
        <v>541.02719999999999</v>
      </c>
      <c r="AC122" s="114">
        <f t="shared" si="103"/>
        <v>541.02719999999999</v>
      </c>
      <c r="AD122" s="114">
        <f t="shared" si="103"/>
        <v>811.54079999999999</v>
      </c>
      <c r="AE122" s="115"/>
      <c r="AG122" s="69"/>
    </row>
    <row r="123" spans="1:52">
      <c r="A123" s="1" t="str">
        <f>A122</f>
        <v/>
      </c>
      <c r="B123" s="128"/>
      <c r="C123" s="112" t="s">
        <v>114</v>
      </c>
      <c r="D123" s="119"/>
      <c r="E123" s="120"/>
      <c r="F123" s="120"/>
      <c r="G123" s="120"/>
      <c r="H123" s="120"/>
      <c r="I123" s="120"/>
      <c r="J123" s="120"/>
      <c r="K123" s="120"/>
      <c r="L123" s="120"/>
      <c r="M123" s="120"/>
      <c r="N123" s="120"/>
      <c r="O123" s="120"/>
      <c r="P123" s="120"/>
      <c r="Q123" s="120"/>
      <c r="R123" s="120"/>
      <c r="S123" s="117">
        <f t="shared" ref="S123:AD123" si="104">IF($E$9="WA",IF(S$1&lt;$G$6,$E$6*$N118*2*S$7+$CA$5*S120,$F$6*$N118*2*S$7+$CA$5*S120),IF($E$9="NV",IF(R121&gt;36000,0,IF(S$1&lt;$G$6,$E$6*S120,$F$6*S120)),IF(S$1&lt;$G$6,$E$6*S120,$F$6*S120)))</f>
        <v>231.98399999999998</v>
      </c>
      <c r="T123" s="117">
        <f t="shared" si="104"/>
        <v>231.98399999999998</v>
      </c>
      <c r="U123" s="117">
        <f t="shared" si="104"/>
        <v>231.98399999999998</v>
      </c>
      <c r="V123" s="117">
        <f t="shared" si="104"/>
        <v>231.98399999999998</v>
      </c>
      <c r="W123" s="117">
        <f t="shared" si="104"/>
        <v>231.98399999999998</v>
      </c>
      <c r="X123" s="117">
        <f t="shared" si="104"/>
        <v>231.98399999999998</v>
      </c>
      <c r="Y123" s="117">
        <f t="shared" si="104"/>
        <v>347.976</v>
      </c>
      <c r="Z123" s="117">
        <f t="shared" si="104"/>
        <v>231.98399999999998</v>
      </c>
      <c r="AA123" s="117">
        <f t="shared" si="104"/>
        <v>231.98399999999998</v>
      </c>
      <c r="AB123" s="117">
        <f t="shared" si="104"/>
        <v>231.98399999999998</v>
      </c>
      <c r="AC123" s="117">
        <f t="shared" si="104"/>
        <v>231.98399999999998</v>
      </c>
      <c r="AD123" s="117">
        <f t="shared" si="104"/>
        <v>347.976</v>
      </c>
      <c r="AE123" s="115"/>
    </row>
    <row r="124" spans="1:52" ht="13">
      <c r="A124" s="1" t="str">
        <f>A123</f>
        <v/>
      </c>
      <c r="B124" s="111"/>
      <c r="C124" s="118" t="s">
        <v>86</v>
      </c>
      <c r="D124" s="113"/>
      <c r="E124" s="113"/>
      <c r="F124" s="113"/>
      <c r="G124" s="113"/>
      <c r="H124" s="113"/>
      <c r="I124" s="113"/>
      <c r="J124" s="113"/>
      <c r="K124" s="113"/>
      <c r="L124" s="113"/>
      <c r="M124" s="113"/>
      <c r="N124" s="113"/>
      <c r="O124" s="113"/>
      <c r="P124" s="113"/>
      <c r="Q124" s="113"/>
      <c r="R124" s="113"/>
      <c r="S124" s="117">
        <f t="shared" ref="S124:AD124" si="105">IF(S118=0,0,$H$11/26*S$7*IF(OR($G118=0,$G118=1),1,$G118))</f>
        <v>76.92307692307692</v>
      </c>
      <c r="T124" s="117">
        <f t="shared" si="105"/>
        <v>76.92307692307692</v>
      </c>
      <c r="U124" s="117">
        <f t="shared" si="105"/>
        <v>76.92307692307692</v>
      </c>
      <c r="V124" s="117">
        <f t="shared" si="105"/>
        <v>76.92307692307692</v>
      </c>
      <c r="W124" s="117">
        <f t="shared" si="105"/>
        <v>76.92307692307692</v>
      </c>
      <c r="X124" s="117">
        <f t="shared" si="105"/>
        <v>76.92307692307692</v>
      </c>
      <c r="Y124" s="117">
        <f t="shared" si="105"/>
        <v>115.38461538461539</v>
      </c>
      <c r="Z124" s="117">
        <f t="shared" si="105"/>
        <v>76.92307692307692</v>
      </c>
      <c r="AA124" s="117">
        <f t="shared" si="105"/>
        <v>76.92307692307692</v>
      </c>
      <c r="AB124" s="117">
        <f t="shared" si="105"/>
        <v>76.92307692307692</v>
      </c>
      <c r="AC124" s="117">
        <f t="shared" si="105"/>
        <v>76.92307692307692</v>
      </c>
      <c r="AD124" s="117">
        <f t="shared" si="105"/>
        <v>115.38461538461539</v>
      </c>
      <c r="AE124" s="115"/>
      <c r="AZ124" s="20"/>
    </row>
    <row r="125" spans="1:52">
      <c r="A125" s="1" t="str">
        <f>A123</f>
        <v/>
      </c>
      <c r="B125" s="128"/>
      <c r="C125" s="118" t="str">
        <f>IF($E$9="CA","",$C$269)</f>
        <v>HEALTH INS. &amp; EMPL. BENEFITS</v>
      </c>
      <c r="D125" s="119"/>
      <c r="E125" s="120"/>
      <c r="F125" s="120"/>
      <c r="G125" s="120"/>
      <c r="H125" s="120"/>
      <c r="I125" s="120"/>
      <c r="J125" s="120"/>
      <c r="K125" s="120"/>
      <c r="L125" s="120"/>
      <c r="M125" s="120"/>
      <c r="N125" s="120"/>
      <c r="O125" s="120"/>
      <c r="P125" s="120"/>
      <c r="Q125" s="120"/>
      <c r="R125" s="120"/>
      <c r="S125" s="121">
        <f t="shared" ref="S125:AD125" si="106">IF(OR($E$9="CA",$E$9="CO",$E$9="OR",$E$9="WA"),0,IF($G118=0,0,$G118*$E$7*S$8/2+S120*$CC$6))</f>
        <v>0</v>
      </c>
      <c r="T125" s="121">
        <f t="shared" si="106"/>
        <v>0</v>
      </c>
      <c r="U125" s="121">
        <f t="shared" si="106"/>
        <v>0</v>
      </c>
      <c r="V125" s="121">
        <f t="shared" si="106"/>
        <v>0</v>
      </c>
      <c r="W125" s="121">
        <f t="shared" si="106"/>
        <v>0</v>
      </c>
      <c r="X125" s="121">
        <f t="shared" si="106"/>
        <v>0</v>
      </c>
      <c r="Y125" s="121">
        <f t="shared" si="106"/>
        <v>0</v>
      </c>
      <c r="Z125" s="121">
        <f t="shared" si="106"/>
        <v>0</v>
      </c>
      <c r="AA125" s="121">
        <f t="shared" si="106"/>
        <v>0</v>
      </c>
      <c r="AB125" s="121">
        <f t="shared" si="106"/>
        <v>0</v>
      </c>
      <c r="AC125" s="121">
        <f t="shared" si="106"/>
        <v>0</v>
      </c>
      <c r="AD125" s="121">
        <f t="shared" si="106"/>
        <v>0</v>
      </c>
      <c r="AE125" s="115"/>
    </row>
    <row r="126" spans="1:52">
      <c r="A126" s="1" t="str">
        <f>IF(F126+G126+H126+M126=0,"Uncheck to Hide","")</f>
        <v/>
      </c>
      <c r="B126" s="74" t="str">
        <f>B118</f>
        <v>6500-200  MAINT. TECHNICIAN - SALARY</v>
      </c>
      <c r="C126" s="75" t="s">
        <v>136</v>
      </c>
      <c r="D126" s="76" t="s">
        <v>137</v>
      </c>
      <c r="E126" s="77"/>
      <c r="F126" s="78">
        <v>1</v>
      </c>
      <c r="G126" s="125">
        <v>1</v>
      </c>
      <c r="H126" s="80"/>
      <c r="I126" s="80">
        <v>25</v>
      </c>
      <c r="J126" s="81">
        <v>45632</v>
      </c>
      <c r="K126" s="82">
        <v>39</v>
      </c>
      <c r="L126" s="83"/>
      <c r="M126" s="84">
        <f>ROUND(K126*(1+L126),2)</f>
        <v>39</v>
      </c>
      <c r="N126" s="85">
        <v>40</v>
      </c>
      <c r="O126" s="85"/>
      <c r="P126" s="86">
        <f>IF(SUM(S127:AD127)&gt;0,1,0)</f>
        <v>0</v>
      </c>
      <c r="Q126" s="87">
        <f>M126*N126*52</f>
        <v>81120</v>
      </c>
      <c r="R126" s="88"/>
      <c r="S126" s="89">
        <f t="shared" ref="S126:AD126" si="107">IF(S127="",$M126*$N126*2*S$7+$P128*S$7+$O126*$M126*1.5*2*S$7+IF($O$10="Y",(SUMIF($CS$3:$DT$3,S$1,$CS$8:$DT$8)-SUMIF($CS$3:$DT$3,R$1,$CS$8:$DT$8))*($M126*$N126*2*S$7+$P128*S$7+$O126*$M126*1.5*2*S$7)/(S$7*14),0)+IF($O$11="Y",(SUMIF($CS$3:$DT$3,S$1,$CS$8:$DT$8)*CU$11-SUMIF($CS$3:$DT$3,R$1,$CS$8:$DT$8)*CT$11)*($M126*$N126*2*S$7+$P128*S$7+$O126*$M126*1.5*2*S$7)/(S$7*14),0),S127)</f>
        <v>6240</v>
      </c>
      <c r="T126" s="89">
        <f t="shared" si="107"/>
        <v>6240</v>
      </c>
      <c r="U126" s="89">
        <f t="shared" si="107"/>
        <v>6240</v>
      </c>
      <c r="V126" s="89">
        <f t="shared" si="107"/>
        <v>6240</v>
      </c>
      <c r="W126" s="89">
        <f t="shared" si="107"/>
        <v>6240</v>
      </c>
      <c r="X126" s="89">
        <f t="shared" si="107"/>
        <v>6240</v>
      </c>
      <c r="Y126" s="89">
        <f t="shared" si="107"/>
        <v>9360</v>
      </c>
      <c r="Z126" s="89">
        <f t="shared" si="107"/>
        <v>6240</v>
      </c>
      <c r="AA126" s="89">
        <f t="shared" si="107"/>
        <v>6240</v>
      </c>
      <c r="AB126" s="89">
        <f t="shared" si="107"/>
        <v>6240</v>
      </c>
      <c r="AC126" s="89">
        <f t="shared" si="107"/>
        <v>6240</v>
      </c>
      <c r="AD126" s="89">
        <f t="shared" si="107"/>
        <v>9360</v>
      </c>
      <c r="AE126" s="90">
        <f>SUM(S126:AD126)</f>
        <v>81120</v>
      </c>
    </row>
    <row r="127" spans="1:52">
      <c r="A127" s="1" t="str">
        <f>A126</f>
        <v/>
      </c>
      <c r="B127" s="92"/>
      <c r="C127" s="93"/>
      <c r="D127" s="93"/>
      <c r="E127" s="93"/>
      <c r="F127" s="93"/>
      <c r="G127" s="93"/>
      <c r="H127" s="93"/>
      <c r="I127" s="93"/>
      <c r="J127" s="93"/>
      <c r="K127" s="93"/>
      <c r="L127" s="93"/>
      <c r="M127" s="93"/>
      <c r="N127" s="93"/>
      <c r="O127" s="93"/>
      <c r="P127" s="93"/>
      <c r="Q127" s="93"/>
      <c r="R127" s="93"/>
      <c r="S127" s="94"/>
      <c r="T127" s="94"/>
      <c r="U127" s="94"/>
      <c r="V127" s="94"/>
      <c r="W127" s="94"/>
      <c r="X127" s="94"/>
      <c r="Y127" s="94"/>
      <c r="Z127" s="94"/>
      <c r="AA127" s="94"/>
      <c r="AB127" s="94"/>
      <c r="AC127" s="94"/>
      <c r="AD127" s="94"/>
      <c r="AE127" s="93"/>
      <c r="AG127" s="95">
        <f>IF(AE126=0,0,1)</f>
        <v>1</v>
      </c>
      <c r="AH127" s="6" t="str">
        <f>IF(AG127=0,"",IF($AG$118&gt;1,", 1 at "," at ")&amp;"$"&amp;ROUND(M126,2)&amp;"/hour, working "&amp;N126&amp;" hours per week with"&amp;IF(E126&gt;0," housing","out housing"))</f>
        <v>, 1 at $39/hour, working 40 hours per week without housing</v>
      </c>
    </row>
    <row r="128" spans="1:52" s="58" customFormat="1" ht="12.75" hidden="1" customHeight="1">
      <c r="A128" s="96" t="s">
        <v>113</v>
      </c>
      <c r="B128" s="129"/>
      <c r="C128" s="130"/>
      <c r="D128" s="131"/>
      <c r="E128" s="131"/>
      <c r="F128" s="131"/>
      <c r="G128" s="132"/>
      <c r="H128" s="132"/>
      <c r="I128" s="132"/>
      <c r="J128" s="132"/>
      <c r="K128" s="132"/>
      <c r="L128" s="132"/>
      <c r="M128" s="133"/>
      <c r="N128" s="134"/>
      <c r="O128" s="134"/>
      <c r="P128" s="103">
        <f>+M126*N126*R126/AE$7</f>
        <v>0</v>
      </c>
      <c r="Q128" s="135"/>
      <c r="S128" s="106">
        <f t="shared" ref="S128:AD128" si="108">IF(S127&gt;0,S127-$P128*S$7,+S126-$P128*S$7)</f>
        <v>6240</v>
      </c>
      <c r="T128" s="106">
        <f t="shared" si="108"/>
        <v>6240</v>
      </c>
      <c r="U128" s="106">
        <f t="shared" si="108"/>
        <v>6240</v>
      </c>
      <c r="V128" s="106">
        <f t="shared" si="108"/>
        <v>6240</v>
      </c>
      <c r="W128" s="106">
        <f t="shared" si="108"/>
        <v>6240</v>
      </c>
      <c r="X128" s="106">
        <f t="shared" si="108"/>
        <v>6240</v>
      </c>
      <c r="Y128" s="106">
        <f t="shared" si="108"/>
        <v>9360</v>
      </c>
      <c r="Z128" s="106">
        <f t="shared" si="108"/>
        <v>6240</v>
      </c>
      <c r="AA128" s="106">
        <f t="shared" si="108"/>
        <v>6240</v>
      </c>
      <c r="AB128" s="106">
        <f t="shared" si="108"/>
        <v>6240</v>
      </c>
      <c r="AC128" s="106">
        <f t="shared" si="108"/>
        <v>6240</v>
      </c>
      <c r="AD128" s="106">
        <f t="shared" si="108"/>
        <v>9360</v>
      </c>
      <c r="AE128" s="136"/>
      <c r="AP128" s="108"/>
      <c r="AQ128" s="108"/>
      <c r="AR128" s="108"/>
      <c r="AS128" s="108"/>
    </row>
    <row r="129" spans="1:52" s="58" customFormat="1" ht="12.75" hidden="1" customHeight="1">
      <c r="A129" s="96" t="s">
        <v>113</v>
      </c>
      <c r="B129" s="129"/>
      <c r="C129" s="130"/>
      <c r="D129" s="131"/>
      <c r="E129" s="131"/>
      <c r="F129" s="131"/>
      <c r="G129" s="132"/>
      <c r="H129" s="132"/>
      <c r="I129" s="132"/>
      <c r="J129" s="132"/>
      <c r="K129" s="132"/>
      <c r="L129" s="132"/>
      <c r="M129" s="133"/>
      <c r="N129" s="134"/>
      <c r="O129" s="134"/>
      <c r="P129" s="131"/>
      <c r="Q129" s="135"/>
      <c r="R129" s="135"/>
      <c r="S129" s="137">
        <f>+S128</f>
        <v>6240</v>
      </c>
      <c r="T129" s="137">
        <f t="shared" ref="T129:AD129" si="109">+T128+S129</f>
        <v>12480</v>
      </c>
      <c r="U129" s="137">
        <f t="shared" si="109"/>
        <v>18720</v>
      </c>
      <c r="V129" s="137">
        <f t="shared" si="109"/>
        <v>24960</v>
      </c>
      <c r="W129" s="137">
        <f t="shared" si="109"/>
        <v>31200</v>
      </c>
      <c r="X129" s="137">
        <f t="shared" si="109"/>
        <v>37440</v>
      </c>
      <c r="Y129" s="137">
        <f t="shared" si="109"/>
        <v>46800</v>
      </c>
      <c r="Z129" s="137">
        <f t="shared" si="109"/>
        <v>53040</v>
      </c>
      <c r="AA129" s="137">
        <f t="shared" si="109"/>
        <v>59280</v>
      </c>
      <c r="AB129" s="137">
        <f t="shared" si="109"/>
        <v>65520</v>
      </c>
      <c r="AC129" s="137">
        <f t="shared" si="109"/>
        <v>71760</v>
      </c>
      <c r="AD129" s="137">
        <f t="shared" si="109"/>
        <v>81120</v>
      </c>
      <c r="AE129" s="136"/>
      <c r="AP129" s="108"/>
      <c r="AQ129" s="108"/>
      <c r="AR129" s="108"/>
      <c r="AS129" s="108"/>
    </row>
    <row r="130" spans="1:52">
      <c r="A130" s="1" t="str">
        <f>A127</f>
        <v/>
      </c>
      <c r="B130" s="128"/>
      <c r="C130" s="112" t="s">
        <v>38</v>
      </c>
      <c r="D130" s="119"/>
      <c r="E130" s="120"/>
      <c r="F130" s="120"/>
      <c r="G130" s="120"/>
      <c r="H130" s="120"/>
      <c r="I130" s="120"/>
      <c r="J130" s="120"/>
      <c r="K130" s="120"/>
      <c r="L130" s="120"/>
      <c r="M130" s="120"/>
      <c r="N130" s="120"/>
      <c r="O130" s="120"/>
      <c r="P130" s="120"/>
      <c r="Q130" s="120"/>
      <c r="R130" s="120"/>
      <c r="S130" s="114">
        <f t="shared" ref="S130:AD130" si="110">IF($E$9="CA",IF(R129&lt;7000,$E$5*S128,($E$5-0.043)*S128),IF($E$9="IL",IF(R129&lt;12960,$E$5*S128,($E$5-0.04125)*S128),IF($E$9="PA",IF(R129&lt;10000,$E$5*S128,($E$5-0.071)*S128),IF($E$9="TX",IF(R129&lt;9000,$E$5*S128,($E$5-0.0363)*S128),$E$5*S128))))</f>
        <v>703.33535999999992</v>
      </c>
      <c r="T130" s="114">
        <f t="shared" si="110"/>
        <v>703.33535999999992</v>
      </c>
      <c r="U130" s="114">
        <f t="shared" si="110"/>
        <v>703.33535999999992</v>
      </c>
      <c r="V130" s="114">
        <f t="shared" si="110"/>
        <v>703.33535999999992</v>
      </c>
      <c r="W130" s="114">
        <f t="shared" si="110"/>
        <v>703.33535999999992</v>
      </c>
      <c r="X130" s="114">
        <f t="shared" si="110"/>
        <v>703.33535999999992</v>
      </c>
      <c r="Y130" s="114">
        <f t="shared" si="110"/>
        <v>1055.0030400000001</v>
      </c>
      <c r="Z130" s="114">
        <f t="shared" si="110"/>
        <v>703.33535999999992</v>
      </c>
      <c r="AA130" s="114">
        <f t="shared" si="110"/>
        <v>703.33535999999992</v>
      </c>
      <c r="AB130" s="114">
        <f t="shared" si="110"/>
        <v>703.33535999999992</v>
      </c>
      <c r="AC130" s="114">
        <f t="shared" si="110"/>
        <v>703.33535999999992</v>
      </c>
      <c r="AD130" s="114">
        <f t="shared" si="110"/>
        <v>1055.0030400000001</v>
      </c>
      <c r="AE130" s="115"/>
    </row>
    <row r="131" spans="1:52">
      <c r="A131" s="1" t="str">
        <f>A130</f>
        <v/>
      </c>
      <c r="B131" s="128"/>
      <c r="C131" s="112" t="s">
        <v>114</v>
      </c>
      <c r="D131" s="119"/>
      <c r="E131" s="120"/>
      <c r="F131" s="120"/>
      <c r="G131" s="120"/>
      <c r="H131" s="120"/>
      <c r="I131" s="120"/>
      <c r="J131" s="120"/>
      <c r="K131" s="120"/>
      <c r="L131" s="120"/>
      <c r="M131" s="120"/>
      <c r="N131" s="120"/>
      <c r="O131" s="120"/>
      <c r="P131" s="120"/>
      <c r="Q131" s="120"/>
      <c r="R131" s="120"/>
      <c r="S131" s="117">
        <f t="shared" ref="S131:AD131" si="111">IF($E$9="WA",IF(S$1&lt;$G$6,$E$6*$N126*2*S$7+$CA$5*S128,$F$6*$N126*2*S$7+$CA$5*S128),IF($E$9="NV",IF(R129&gt;36000,0,IF(S$1&lt;$G$6,$E$6*S128,$F$6*S128)),IF(S$1&lt;$G$6,$E$6*S128,$F$6*S128)))</f>
        <v>231.98399999999998</v>
      </c>
      <c r="T131" s="117">
        <f t="shared" si="111"/>
        <v>231.98399999999998</v>
      </c>
      <c r="U131" s="117">
        <f t="shared" si="111"/>
        <v>231.98399999999998</v>
      </c>
      <c r="V131" s="117">
        <f t="shared" si="111"/>
        <v>231.98399999999998</v>
      </c>
      <c r="W131" s="117">
        <f t="shared" si="111"/>
        <v>231.98399999999998</v>
      </c>
      <c r="X131" s="117">
        <f t="shared" si="111"/>
        <v>231.98399999999998</v>
      </c>
      <c r="Y131" s="117">
        <f t="shared" si="111"/>
        <v>347.976</v>
      </c>
      <c r="Z131" s="117">
        <f t="shared" si="111"/>
        <v>231.98399999999998</v>
      </c>
      <c r="AA131" s="117">
        <f t="shared" si="111"/>
        <v>231.98399999999998</v>
      </c>
      <c r="AB131" s="117">
        <f t="shared" si="111"/>
        <v>231.98399999999998</v>
      </c>
      <c r="AC131" s="117">
        <f t="shared" si="111"/>
        <v>231.98399999999998</v>
      </c>
      <c r="AD131" s="117">
        <f t="shared" si="111"/>
        <v>347.976</v>
      </c>
      <c r="AE131" s="115"/>
    </row>
    <row r="132" spans="1:52" ht="13">
      <c r="A132" s="1" t="str">
        <f>A131</f>
        <v/>
      </c>
      <c r="B132" s="111"/>
      <c r="C132" s="118" t="s">
        <v>86</v>
      </c>
      <c r="D132" s="113"/>
      <c r="E132" s="113"/>
      <c r="F132" s="113"/>
      <c r="G132" s="113"/>
      <c r="H132" s="113"/>
      <c r="I132" s="113"/>
      <c r="J132" s="113"/>
      <c r="K132" s="113"/>
      <c r="L132" s="113"/>
      <c r="M132" s="113"/>
      <c r="N132" s="113"/>
      <c r="O132" s="113"/>
      <c r="P132" s="113"/>
      <c r="Q132" s="113"/>
      <c r="R132" s="113"/>
      <c r="S132" s="117">
        <f t="shared" ref="S132:AD132" si="112">IF(S126=0,0,$H$11/26*S$7*IF(OR($G126=0,$G126=1),1,$G126))</f>
        <v>76.92307692307692</v>
      </c>
      <c r="T132" s="117">
        <f t="shared" si="112"/>
        <v>76.92307692307692</v>
      </c>
      <c r="U132" s="117">
        <f t="shared" si="112"/>
        <v>76.92307692307692</v>
      </c>
      <c r="V132" s="117">
        <f t="shared" si="112"/>
        <v>76.92307692307692</v>
      </c>
      <c r="W132" s="117">
        <f t="shared" si="112"/>
        <v>76.92307692307692</v>
      </c>
      <c r="X132" s="117">
        <f t="shared" si="112"/>
        <v>76.92307692307692</v>
      </c>
      <c r="Y132" s="117">
        <f t="shared" si="112"/>
        <v>115.38461538461539</v>
      </c>
      <c r="Z132" s="117">
        <f t="shared" si="112"/>
        <v>76.92307692307692</v>
      </c>
      <c r="AA132" s="117">
        <f t="shared" si="112"/>
        <v>76.92307692307692</v>
      </c>
      <c r="AB132" s="117">
        <f t="shared" si="112"/>
        <v>76.92307692307692</v>
      </c>
      <c r="AC132" s="117">
        <f t="shared" si="112"/>
        <v>76.92307692307692</v>
      </c>
      <c r="AD132" s="117">
        <f t="shared" si="112"/>
        <v>115.38461538461539</v>
      </c>
      <c r="AE132" s="115"/>
      <c r="AZ132" s="20"/>
    </row>
    <row r="133" spans="1:52">
      <c r="A133" s="1" t="str">
        <f>A131</f>
        <v/>
      </c>
      <c r="B133" s="128"/>
      <c r="C133" s="118" t="str">
        <f>IF($E$9="CA","",$C$269)</f>
        <v>HEALTH INS. &amp; EMPL. BENEFITS</v>
      </c>
      <c r="D133" s="119"/>
      <c r="E133" s="120"/>
      <c r="F133" s="120"/>
      <c r="G133" s="120"/>
      <c r="H133" s="120"/>
      <c r="I133" s="120"/>
      <c r="J133" s="120"/>
      <c r="K133" s="120"/>
      <c r="L133" s="120"/>
      <c r="M133" s="120"/>
      <c r="N133" s="120"/>
      <c r="O133" s="120"/>
      <c r="P133" s="120"/>
      <c r="Q133" s="120"/>
      <c r="R133" s="120"/>
      <c r="S133" s="121">
        <f t="shared" ref="S133:AD133" si="113">IF(OR($E$9="CA",$E$9="CO",$E$9="OR",$E$9="WA"),0,IF($G126=0,0,$G126*$E$7*S$8/2+S128*$CC$6))</f>
        <v>0</v>
      </c>
      <c r="T133" s="121">
        <f t="shared" si="113"/>
        <v>0</v>
      </c>
      <c r="U133" s="121">
        <f t="shared" si="113"/>
        <v>0</v>
      </c>
      <c r="V133" s="121">
        <f t="shared" si="113"/>
        <v>0</v>
      </c>
      <c r="W133" s="121">
        <f t="shared" si="113"/>
        <v>0</v>
      </c>
      <c r="X133" s="121">
        <f t="shared" si="113"/>
        <v>0</v>
      </c>
      <c r="Y133" s="121">
        <f t="shared" si="113"/>
        <v>0</v>
      </c>
      <c r="Z133" s="121">
        <f t="shared" si="113"/>
        <v>0</v>
      </c>
      <c r="AA133" s="121">
        <f t="shared" si="113"/>
        <v>0</v>
      </c>
      <c r="AB133" s="121">
        <f t="shared" si="113"/>
        <v>0</v>
      </c>
      <c r="AC133" s="121">
        <f t="shared" si="113"/>
        <v>0</v>
      </c>
      <c r="AD133" s="121">
        <f t="shared" si="113"/>
        <v>0</v>
      </c>
      <c r="AE133" s="115"/>
    </row>
    <row r="134" spans="1:52">
      <c r="A134" s="1" t="str">
        <f>IF(F134+G134+H134+M134=0,"Uncheck to Hide","")</f>
        <v/>
      </c>
      <c r="B134" s="74" t="str">
        <f>B126</f>
        <v>6500-200  MAINT. TECHNICIAN - SALARY</v>
      </c>
      <c r="C134" s="75" t="s">
        <v>138</v>
      </c>
      <c r="D134" s="76" t="s">
        <v>139</v>
      </c>
      <c r="E134" s="77"/>
      <c r="F134" s="78">
        <v>1</v>
      </c>
      <c r="G134" s="125">
        <v>1</v>
      </c>
      <c r="H134" s="80"/>
      <c r="I134" s="80">
        <v>25</v>
      </c>
      <c r="J134" s="81">
        <v>45825</v>
      </c>
      <c r="K134" s="82">
        <v>30</v>
      </c>
      <c r="L134" s="83"/>
      <c r="M134" s="84">
        <f>ROUND(K134*(1+L134),2)</f>
        <v>30</v>
      </c>
      <c r="N134" s="85">
        <v>40</v>
      </c>
      <c r="O134" s="85"/>
      <c r="P134" s="86">
        <f>IF(SUM(S135:AD135)&gt;0,1,0)</f>
        <v>0</v>
      </c>
      <c r="Q134" s="87">
        <f>M134*N134*52</f>
        <v>62400</v>
      </c>
      <c r="R134" s="88"/>
      <c r="S134" s="89">
        <f t="shared" ref="S134:AD134" si="114">IF(S135="",$M134*$N134*2*S$7+$P136*S$7+$O134*$M134*1.5*2*S$7+IF($O$10="Y",(SUMIF($CS$3:$DT$3,S$1,$CS$8:$DT$8)-SUMIF($CS$3:$DT$3,R$1,$CS$8:$DT$8))*($M134*$N134*2*S$7+$P136*S$7+$O134*$M134*1.5*2*S$7)/(S$7*14),0)+IF($O$11="Y",(SUMIF($CS$3:$DT$3,S$1,$CS$8:$DT$8)*CU$11-SUMIF($CS$3:$DT$3,R$1,$CS$8:$DT$8)*CT$11)*($M134*$N134*2*S$7+$P136*S$7+$O134*$M134*1.5*2*S$7)/(S$7*14),0),S135)</f>
        <v>4800</v>
      </c>
      <c r="T134" s="89">
        <f t="shared" si="114"/>
        <v>4800</v>
      </c>
      <c r="U134" s="89">
        <f t="shared" si="114"/>
        <v>4800</v>
      </c>
      <c r="V134" s="89">
        <f t="shared" si="114"/>
        <v>4800</v>
      </c>
      <c r="W134" s="89">
        <f t="shared" si="114"/>
        <v>4800</v>
      </c>
      <c r="X134" s="89">
        <f t="shared" si="114"/>
        <v>4800</v>
      </c>
      <c r="Y134" s="89">
        <f t="shared" si="114"/>
        <v>7200</v>
      </c>
      <c r="Z134" s="89">
        <f t="shared" si="114"/>
        <v>4800</v>
      </c>
      <c r="AA134" s="89">
        <f t="shared" si="114"/>
        <v>4800</v>
      </c>
      <c r="AB134" s="89">
        <f t="shared" si="114"/>
        <v>4800</v>
      </c>
      <c r="AC134" s="89">
        <f t="shared" si="114"/>
        <v>4800</v>
      </c>
      <c r="AD134" s="89">
        <f t="shared" si="114"/>
        <v>7200</v>
      </c>
      <c r="AE134" s="90">
        <f>SUM(S134:AD134)</f>
        <v>62400</v>
      </c>
    </row>
    <row r="135" spans="1:52">
      <c r="A135" s="1" t="str">
        <f>A134</f>
        <v/>
      </c>
      <c r="B135" s="92"/>
      <c r="C135" s="93"/>
      <c r="D135" s="93"/>
      <c r="E135" s="93"/>
      <c r="F135" s="93"/>
      <c r="G135" s="93"/>
      <c r="H135" s="93"/>
      <c r="I135" s="93"/>
      <c r="J135" s="93"/>
      <c r="K135" s="93"/>
      <c r="L135" s="93"/>
      <c r="M135" s="93"/>
      <c r="N135" s="93"/>
      <c r="O135" s="93"/>
      <c r="P135" s="93"/>
      <c r="Q135" s="93"/>
      <c r="R135" s="93"/>
      <c r="S135" s="94"/>
      <c r="T135" s="94"/>
      <c r="U135" s="94"/>
      <c r="V135" s="94"/>
      <c r="W135" s="94"/>
      <c r="X135" s="94"/>
      <c r="Y135" s="94"/>
      <c r="Z135" s="94"/>
      <c r="AA135" s="94"/>
      <c r="AB135" s="94"/>
      <c r="AC135" s="94"/>
      <c r="AD135" s="94"/>
      <c r="AE135" s="93"/>
      <c r="AG135" s="95">
        <f>IF(AE134=0,0,1)</f>
        <v>1</v>
      </c>
      <c r="AH135" s="6" t="str">
        <f>IF(AG135=0,"",IF($AG$118&gt;1,", 1 at "," at ")&amp;"$"&amp;ROUND(M134,2)&amp;"/hour, working "&amp;N134&amp;" hours per week with"&amp;IF(E134&gt;0," housing","out housing"))</f>
        <v>, 1 at $30/hour, working 40 hours per week without housing</v>
      </c>
    </row>
    <row r="136" spans="1:52" s="58" customFormat="1" hidden="1">
      <c r="A136" s="96" t="s">
        <v>113</v>
      </c>
      <c r="B136" s="129"/>
      <c r="C136" s="130"/>
      <c r="D136" s="131"/>
      <c r="E136" s="131"/>
      <c r="F136" s="131"/>
      <c r="G136" s="132"/>
      <c r="H136" s="132"/>
      <c r="I136" s="132"/>
      <c r="J136" s="132"/>
      <c r="K136" s="132"/>
      <c r="L136" s="132"/>
      <c r="M136" s="133"/>
      <c r="N136" s="134"/>
      <c r="O136" s="134"/>
      <c r="P136" s="103">
        <f>+M134*N134*R134/AE$7</f>
        <v>0</v>
      </c>
      <c r="Q136" s="135"/>
      <c r="S136" s="106">
        <f t="shared" ref="S136:AD136" si="115">IF(S135&gt;0,S135-$P136*S$7,+S134-$P136*S$7)</f>
        <v>4800</v>
      </c>
      <c r="T136" s="106">
        <f t="shared" si="115"/>
        <v>4800</v>
      </c>
      <c r="U136" s="106">
        <f t="shared" si="115"/>
        <v>4800</v>
      </c>
      <c r="V136" s="106">
        <f t="shared" si="115"/>
        <v>4800</v>
      </c>
      <c r="W136" s="106">
        <f t="shared" si="115"/>
        <v>4800</v>
      </c>
      <c r="X136" s="106">
        <f t="shared" si="115"/>
        <v>4800</v>
      </c>
      <c r="Y136" s="106">
        <f t="shared" si="115"/>
        <v>7200</v>
      </c>
      <c r="Z136" s="106">
        <f t="shared" si="115"/>
        <v>4800</v>
      </c>
      <c r="AA136" s="106">
        <f t="shared" si="115"/>
        <v>4800</v>
      </c>
      <c r="AB136" s="106">
        <f t="shared" si="115"/>
        <v>4800</v>
      </c>
      <c r="AC136" s="106">
        <f t="shared" si="115"/>
        <v>4800</v>
      </c>
      <c r="AD136" s="106">
        <f t="shared" si="115"/>
        <v>7200</v>
      </c>
      <c r="AE136" s="136"/>
      <c r="AP136" s="108"/>
      <c r="AQ136" s="108"/>
      <c r="AR136" s="108"/>
      <c r="AS136" s="108"/>
    </row>
    <row r="137" spans="1:52" s="58" customFormat="1" hidden="1">
      <c r="A137" s="96" t="s">
        <v>113</v>
      </c>
      <c r="B137" s="129"/>
      <c r="C137" s="130"/>
      <c r="D137" s="131"/>
      <c r="E137" s="131"/>
      <c r="F137" s="131"/>
      <c r="G137" s="132"/>
      <c r="H137" s="132"/>
      <c r="I137" s="132"/>
      <c r="J137" s="132"/>
      <c r="K137" s="132"/>
      <c r="L137" s="132"/>
      <c r="M137" s="133"/>
      <c r="N137" s="134"/>
      <c r="O137" s="134"/>
      <c r="P137" s="131"/>
      <c r="Q137" s="135"/>
      <c r="R137" s="135"/>
      <c r="S137" s="137">
        <f>+S136</f>
        <v>4800</v>
      </c>
      <c r="T137" s="137">
        <f t="shared" ref="T137:AD137" si="116">+T136+S137</f>
        <v>9600</v>
      </c>
      <c r="U137" s="137">
        <f t="shared" si="116"/>
        <v>14400</v>
      </c>
      <c r="V137" s="137">
        <f t="shared" si="116"/>
        <v>19200</v>
      </c>
      <c r="W137" s="137">
        <f t="shared" si="116"/>
        <v>24000</v>
      </c>
      <c r="X137" s="137">
        <f t="shared" si="116"/>
        <v>28800</v>
      </c>
      <c r="Y137" s="137">
        <f t="shared" si="116"/>
        <v>36000</v>
      </c>
      <c r="Z137" s="137">
        <f t="shared" si="116"/>
        <v>40800</v>
      </c>
      <c r="AA137" s="137">
        <f t="shared" si="116"/>
        <v>45600</v>
      </c>
      <c r="AB137" s="137">
        <f t="shared" si="116"/>
        <v>50400</v>
      </c>
      <c r="AC137" s="137">
        <f t="shared" si="116"/>
        <v>55200</v>
      </c>
      <c r="AD137" s="137">
        <f t="shared" si="116"/>
        <v>62400</v>
      </c>
      <c r="AE137" s="136"/>
      <c r="AP137" s="108"/>
      <c r="AQ137" s="108"/>
      <c r="AR137" s="108"/>
      <c r="AS137" s="108"/>
    </row>
    <row r="138" spans="1:52">
      <c r="A138" s="1" t="str">
        <f>A135</f>
        <v/>
      </c>
      <c r="B138" s="128"/>
      <c r="C138" s="112" t="s">
        <v>38</v>
      </c>
      <c r="D138" s="119"/>
      <c r="E138" s="120"/>
      <c r="F138" s="120"/>
      <c r="G138" s="120"/>
      <c r="H138" s="120"/>
      <c r="I138" s="120"/>
      <c r="J138" s="120"/>
      <c r="K138" s="120"/>
      <c r="L138" s="120"/>
      <c r="M138" s="120"/>
      <c r="N138" s="120"/>
      <c r="O138" s="120"/>
      <c r="P138" s="120"/>
      <c r="Q138" s="120"/>
      <c r="R138" s="120"/>
      <c r="S138" s="114">
        <f t="shared" ref="S138:AD138" si="117">IF($E$9="CA",IF(R137&lt;7000,$E$5*S136,($E$5-0.043)*S136),IF($E$9="IL",IF(R137&lt;12960,$E$5*S136,($E$5-0.04125)*S136),IF($E$9="PA",IF(R137&lt;10000,$E$5*S136,($E$5-0.071)*S136),IF($E$9="TX",IF(R137&lt;9000,$E$5*S136,($E$5-0.0363)*S136),$E$5*S136))))</f>
        <v>541.02719999999999</v>
      </c>
      <c r="T138" s="114">
        <f t="shared" si="117"/>
        <v>541.02719999999999</v>
      </c>
      <c r="U138" s="114">
        <f t="shared" si="117"/>
        <v>541.02719999999999</v>
      </c>
      <c r="V138" s="114">
        <f t="shared" si="117"/>
        <v>541.02719999999999</v>
      </c>
      <c r="W138" s="114">
        <f t="shared" si="117"/>
        <v>541.02719999999999</v>
      </c>
      <c r="X138" s="114">
        <f t="shared" si="117"/>
        <v>541.02719999999999</v>
      </c>
      <c r="Y138" s="114">
        <f t="shared" si="117"/>
        <v>811.54079999999999</v>
      </c>
      <c r="Z138" s="114">
        <f t="shared" si="117"/>
        <v>541.02719999999999</v>
      </c>
      <c r="AA138" s="114">
        <f t="shared" si="117"/>
        <v>541.02719999999999</v>
      </c>
      <c r="AB138" s="114">
        <f t="shared" si="117"/>
        <v>541.02719999999999</v>
      </c>
      <c r="AC138" s="114">
        <f t="shared" si="117"/>
        <v>541.02719999999999</v>
      </c>
      <c r="AD138" s="114">
        <f t="shared" si="117"/>
        <v>811.54079999999999</v>
      </c>
      <c r="AE138" s="115"/>
    </row>
    <row r="139" spans="1:52">
      <c r="A139" s="1" t="str">
        <f>A138</f>
        <v/>
      </c>
      <c r="B139" s="128"/>
      <c r="C139" s="112" t="s">
        <v>114</v>
      </c>
      <c r="D139" s="119"/>
      <c r="E139" s="120"/>
      <c r="F139" s="120"/>
      <c r="G139" s="120"/>
      <c r="H139" s="120"/>
      <c r="I139" s="120"/>
      <c r="J139" s="120"/>
      <c r="K139" s="120"/>
      <c r="L139" s="120"/>
      <c r="M139" s="120"/>
      <c r="N139" s="120"/>
      <c r="O139" s="120"/>
      <c r="P139" s="120"/>
      <c r="Q139" s="120"/>
      <c r="R139" s="120"/>
      <c r="S139" s="117">
        <f t="shared" ref="S139:AD139" si="118">IF($E$9="WA",IF(S$1&lt;$G$6,$E$6*$N134*2*S$7+$CA$5*S136,$F$6*$N134*2*S$7+$CA$5*S136),IF($E$9="NV",IF(R137&gt;36000,0,IF(S$1&lt;$G$6,$E$6*S136,$F$6*S136)),IF(S$1&lt;$G$6,$E$6*S136,$F$6*S136)))</f>
        <v>231.98399999999998</v>
      </c>
      <c r="T139" s="117">
        <f t="shared" si="118"/>
        <v>231.98399999999998</v>
      </c>
      <c r="U139" s="117">
        <f t="shared" si="118"/>
        <v>231.98399999999998</v>
      </c>
      <c r="V139" s="117">
        <f t="shared" si="118"/>
        <v>231.98399999999998</v>
      </c>
      <c r="W139" s="117">
        <f t="shared" si="118"/>
        <v>231.98399999999998</v>
      </c>
      <c r="X139" s="117">
        <f t="shared" si="118"/>
        <v>231.98399999999998</v>
      </c>
      <c r="Y139" s="117">
        <f t="shared" si="118"/>
        <v>347.976</v>
      </c>
      <c r="Z139" s="117">
        <f t="shared" si="118"/>
        <v>231.98399999999998</v>
      </c>
      <c r="AA139" s="117">
        <f t="shared" si="118"/>
        <v>231.98399999999998</v>
      </c>
      <c r="AB139" s="117">
        <f t="shared" si="118"/>
        <v>231.98399999999998</v>
      </c>
      <c r="AC139" s="117">
        <f t="shared" si="118"/>
        <v>231.98399999999998</v>
      </c>
      <c r="AD139" s="117">
        <f t="shared" si="118"/>
        <v>347.976</v>
      </c>
      <c r="AE139" s="115"/>
    </row>
    <row r="140" spans="1:52" ht="13">
      <c r="A140" s="1" t="str">
        <f>A139</f>
        <v/>
      </c>
      <c r="B140" s="111"/>
      <c r="C140" s="118" t="s">
        <v>86</v>
      </c>
      <c r="D140" s="113"/>
      <c r="E140" s="113"/>
      <c r="F140" s="113"/>
      <c r="G140" s="113"/>
      <c r="H140" s="113"/>
      <c r="I140" s="113"/>
      <c r="J140" s="113"/>
      <c r="K140" s="113"/>
      <c r="L140" s="113"/>
      <c r="M140" s="113"/>
      <c r="N140" s="113"/>
      <c r="O140" s="113"/>
      <c r="P140" s="113"/>
      <c r="Q140" s="113"/>
      <c r="R140" s="113"/>
      <c r="S140" s="117">
        <f t="shared" ref="S140:AD140" si="119">IF(S134=0,0,$H$11/26*S$7*IF(OR($G134=0,$G134=1),1,$G134))</f>
        <v>76.92307692307692</v>
      </c>
      <c r="T140" s="117">
        <f t="shared" si="119"/>
        <v>76.92307692307692</v>
      </c>
      <c r="U140" s="117">
        <f t="shared" si="119"/>
        <v>76.92307692307692</v>
      </c>
      <c r="V140" s="117">
        <f t="shared" si="119"/>
        <v>76.92307692307692</v>
      </c>
      <c r="W140" s="117">
        <f t="shared" si="119"/>
        <v>76.92307692307692</v>
      </c>
      <c r="X140" s="117">
        <f t="shared" si="119"/>
        <v>76.92307692307692</v>
      </c>
      <c r="Y140" s="117">
        <f t="shared" si="119"/>
        <v>115.38461538461539</v>
      </c>
      <c r="Z140" s="117">
        <f t="shared" si="119"/>
        <v>76.92307692307692</v>
      </c>
      <c r="AA140" s="117">
        <f t="shared" si="119"/>
        <v>76.92307692307692</v>
      </c>
      <c r="AB140" s="117">
        <f t="shared" si="119"/>
        <v>76.92307692307692</v>
      </c>
      <c r="AC140" s="117">
        <f t="shared" si="119"/>
        <v>76.92307692307692</v>
      </c>
      <c r="AD140" s="117">
        <f t="shared" si="119"/>
        <v>115.38461538461539</v>
      </c>
      <c r="AE140" s="115"/>
      <c r="AZ140" s="20"/>
    </row>
    <row r="141" spans="1:52">
      <c r="A141" s="1" t="str">
        <f>A139</f>
        <v/>
      </c>
      <c r="B141" s="128"/>
      <c r="C141" s="118" t="str">
        <f>IF($E$9="CA","",$C$269)</f>
        <v>HEALTH INS. &amp; EMPL. BENEFITS</v>
      </c>
      <c r="D141" s="119"/>
      <c r="E141" s="120"/>
      <c r="F141" s="120"/>
      <c r="G141" s="120"/>
      <c r="H141" s="120"/>
      <c r="I141" s="120"/>
      <c r="J141" s="120"/>
      <c r="K141" s="120"/>
      <c r="L141" s="120"/>
      <c r="M141" s="120"/>
      <c r="N141" s="120"/>
      <c r="O141" s="120"/>
      <c r="P141" s="120"/>
      <c r="Q141" s="120"/>
      <c r="R141" s="120"/>
      <c r="S141" s="121">
        <f t="shared" ref="S141:AD141" si="120">IF(OR($E$9="CA",$E$9="CO",$E$9="OR",$E$9="WA"),0,IF($G134=0,0,$G134*$E$7*S$8/2+S136*$CC$6))</f>
        <v>0</v>
      </c>
      <c r="T141" s="121">
        <f t="shared" si="120"/>
        <v>0</v>
      </c>
      <c r="U141" s="121">
        <f t="shared" si="120"/>
        <v>0</v>
      </c>
      <c r="V141" s="121">
        <f t="shared" si="120"/>
        <v>0</v>
      </c>
      <c r="W141" s="121">
        <f t="shared" si="120"/>
        <v>0</v>
      </c>
      <c r="X141" s="121">
        <f t="shared" si="120"/>
        <v>0</v>
      </c>
      <c r="Y141" s="121">
        <f t="shared" si="120"/>
        <v>0</v>
      </c>
      <c r="Z141" s="121">
        <f t="shared" si="120"/>
        <v>0</v>
      </c>
      <c r="AA141" s="121">
        <f t="shared" si="120"/>
        <v>0</v>
      </c>
      <c r="AB141" s="121">
        <f t="shared" si="120"/>
        <v>0</v>
      </c>
      <c r="AC141" s="121">
        <f t="shared" si="120"/>
        <v>0</v>
      </c>
      <c r="AD141" s="121">
        <f t="shared" si="120"/>
        <v>0</v>
      </c>
      <c r="AE141" s="115"/>
    </row>
    <row r="142" spans="1:52" hidden="1">
      <c r="A142" s="1" t="str">
        <f>IF(F142+G142+H142+M142=0,"Uncheck to Hide","")</f>
        <v>Uncheck to Hide</v>
      </c>
      <c r="B142" s="74" t="str">
        <f>B134</f>
        <v>6500-200  MAINT. TECHNICIAN - SALARY</v>
      </c>
      <c r="C142" s="75" t="s">
        <v>140</v>
      </c>
      <c r="D142" s="76"/>
      <c r="E142" s="77"/>
      <c r="F142" s="78"/>
      <c r="G142" s="125"/>
      <c r="H142" s="80"/>
      <c r="I142" s="80">
        <v>25</v>
      </c>
      <c r="J142" s="81"/>
      <c r="K142" s="82"/>
      <c r="L142" s="83"/>
      <c r="M142" s="84">
        <f>ROUND(K142*(1+L142),2)</f>
        <v>0</v>
      </c>
      <c r="N142" s="85"/>
      <c r="O142" s="85"/>
      <c r="P142" s="86">
        <f>IF(SUM(S143:AD143)&gt;0,1,0)</f>
        <v>0</v>
      </c>
      <c r="Q142" s="87">
        <f>M142*N142*52</f>
        <v>0</v>
      </c>
      <c r="R142" s="88"/>
      <c r="S142" s="89">
        <f t="shared" ref="S142:AD142" si="121">IF(S143="",$M142*$N142*2*S$7+$P144*S$7+$O142*$M142*1.5*2*S$7+IF($O$10="Y",(SUMIF($CS$3:$DT$3,S$1,$CS$8:$DT$8)-SUMIF($CS$3:$DT$3,R$1,$CS$8:$DT$8))*($M142*$N142*2*S$7+$P144*S$7+$O142*$M142*1.5*2*S$7)/(S$7*14),0)+IF($O$11="Y",(SUMIF($CS$3:$DT$3,S$1,$CS$8:$DT$8)*CU$11-SUMIF($CS$3:$DT$3,R$1,$CS$8:$DT$8)*CT$11)*($M142*$N142*2*S$7+$P144*S$7+$O142*$M142*1.5*2*S$7)/(S$7*14),0),S143)</f>
        <v>0</v>
      </c>
      <c r="T142" s="89">
        <f t="shared" si="121"/>
        <v>0</v>
      </c>
      <c r="U142" s="89">
        <f t="shared" si="121"/>
        <v>0</v>
      </c>
      <c r="V142" s="89">
        <f t="shared" si="121"/>
        <v>0</v>
      </c>
      <c r="W142" s="89">
        <f t="shared" si="121"/>
        <v>0</v>
      </c>
      <c r="X142" s="89">
        <f t="shared" si="121"/>
        <v>0</v>
      </c>
      <c r="Y142" s="89">
        <f t="shared" si="121"/>
        <v>0</v>
      </c>
      <c r="Z142" s="89">
        <f t="shared" si="121"/>
        <v>0</v>
      </c>
      <c r="AA142" s="89">
        <f t="shared" si="121"/>
        <v>0</v>
      </c>
      <c r="AB142" s="89">
        <f t="shared" si="121"/>
        <v>0</v>
      </c>
      <c r="AC142" s="89">
        <f t="shared" si="121"/>
        <v>0</v>
      </c>
      <c r="AD142" s="89">
        <f t="shared" si="121"/>
        <v>0</v>
      </c>
      <c r="AE142" s="90">
        <f>SUM(S142:AD142)</f>
        <v>0</v>
      </c>
    </row>
    <row r="143" spans="1:52" hidden="1">
      <c r="A143" s="1" t="str">
        <f>A142</f>
        <v>Uncheck to Hide</v>
      </c>
      <c r="B143" s="92"/>
      <c r="C143" s="93"/>
      <c r="D143" s="93"/>
      <c r="E143" s="93"/>
      <c r="F143" s="93"/>
      <c r="G143" s="93"/>
      <c r="H143" s="93"/>
      <c r="I143" s="93"/>
      <c r="J143" s="93"/>
      <c r="K143" s="93"/>
      <c r="L143" s="93"/>
      <c r="M143" s="93"/>
      <c r="N143" s="93"/>
      <c r="O143" s="93"/>
      <c r="P143" s="93"/>
      <c r="Q143" s="93"/>
      <c r="R143" s="93"/>
      <c r="S143" s="94"/>
      <c r="T143" s="94"/>
      <c r="U143" s="94"/>
      <c r="V143" s="94"/>
      <c r="W143" s="94"/>
      <c r="X143" s="94"/>
      <c r="Y143" s="94"/>
      <c r="Z143" s="94"/>
      <c r="AA143" s="94"/>
      <c r="AB143" s="94"/>
      <c r="AC143" s="94"/>
      <c r="AD143" s="94"/>
      <c r="AE143" s="93"/>
      <c r="AG143" s="95">
        <f>IF(AE142=0,0,1)</f>
        <v>0</v>
      </c>
      <c r="AH143" s="6" t="str">
        <f>IF(AG143=0,".",IF($AG$118&gt;1,", 1 at "," at ")&amp;"$"&amp;ROUND(M142,2)&amp;"/hour, working "&amp;N142&amp;" hours per week with"&amp;IF(E142&gt;0," housing.","out housing."))</f>
        <v>.</v>
      </c>
    </row>
    <row r="144" spans="1:52" s="58" customFormat="1" ht="12.75" hidden="1" customHeight="1">
      <c r="A144" s="96" t="s">
        <v>113</v>
      </c>
      <c r="B144" s="129"/>
      <c r="C144" s="130"/>
      <c r="D144" s="131"/>
      <c r="E144" s="131"/>
      <c r="F144" s="131"/>
      <c r="G144" s="132"/>
      <c r="H144" s="132"/>
      <c r="I144" s="132"/>
      <c r="J144" s="132"/>
      <c r="K144" s="132"/>
      <c r="L144" s="132"/>
      <c r="M144" s="133"/>
      <c r="N144" s="134"/>
      <c r="O144" s="134"/>
      <c r="P144" s="103">
        <f>+M142*N142*R142/AE$7</f>
        <v>0</v>
      </c>
      <c r="Q144" s="135"/>
      <c r="S144" s="106">
        <f t="shared" ref="S144:AD144" si="122">IF(S143&gt;0,S143-$P144*S$7,+S142-$P144*S$7)</f>
        <v>0</v>
      </c>
      <c r="T144" s="106">
        <f t="shared" si="122"/>
        <v>0</v>
      </c>
      <c r="U144" s="106">
        <f t="shared" si="122"/>
        <v>0</v>
      </c>
      <c r="V144" s="106">
        <f t="shared" si="122"/>
        <v>0</v>
      </c>
      <c r="W144" s="106">
        <f t="shared" si="122"/>
        <v>0</v>
      </c>
      <c r="X144" s="106">
        <f t="shared" si="122"/>
        <v>0</v>
      </c>
      <c r="Y144" s="106">
        <f t="shared" si="122"/>
        <v>0</v>
      </c>
      <c r="Z144" s="106">
        <f t="shared" si="122"/>
        <v>0</v>
      </c>
      <c r="AA144" s="106">
        <f t="shared" si="122"/>
        <v>0</v>
      </c>
      <c r="AB144" s="106">
        <f t="shared" si="122"/>
        <v>0</v>
      </c>
      <c r="AC144" s="106">
        <f t="shared" si="122"/>
        <v>0</v>
      </c>
      <c r="AD144" s="106">
        <f t="shared" si="122"/>
        <v>0</v>
      </c>
      <c r="AE144" s="136"/>
      <c r="AP144" s="108"/>
      <c r="AQ144" s="108"/>
      <c r="AR144" s="108"/>
      <c r="AS144" s="108"/>
    </row>
    <row r="145" spans="1:52" s="58" customFormat="1" ht="12.75" hidden="1" customHeight="1">
      <c r="A145" s="96" t="s">
        <v>113</v>
      </c>
      <c r="B145" s="129"/>
      <c r="C145" s="130"/>
      <c r="D145" s="131"/>
      <c r="E145" s="131"/>
      <c r="F145" s="131"/>
      <c r="G145" s="132"/>
      <c r="H145" s="132"/>
      <c r="I145" s="132"/>
      <c r="J145" s="132"/>
      <c r="K145" s="132"/>
      <c r="L145" s="132"/>
      <c r="M145" s="133"/>
      <c r="N145" s="134"/>
      <c r="O145" s="134"/>
      <c r="P145" s="131"/>
      <c r="Q145" s="135"/>
      <c r="R145" s="135"/>
      <c r="S145" s="137">
        <f>+S144</f>
        <v>0</v>
      </c>
      <c r="T145" s="137">
        <f t="shared" ref="T145:AD145" si="123">+T144+S145</f>
        <v>0</v>
      </c>
      <c r="U145" s="137">
        <f t="shared" si="123"/>
        <v>0</v>
      </c>
      <c r="V145" s="137">
        <f t="shared" si="123"/>
        <v>0</v>
      </c>
      <c r="W145" s="137">
        <f t="shared" si="123"/>
        <v>0</v>
      </c>
      <c r="X145" s="137">
        <f t="shared" si="123"/>
        <v>0</v>
      </c>
      <c r="Y145" s="137">
        <f t="shared" si="123"/>
        <v>0</v>
      </c>
      <c r="Z145" s="137">
        <f t="shared" si="123"/>
        <v>0</v>
      </c>
      <c r="AA145" s="137">
        <f t="shared" si="123"/>
        <v>0</v>
      </c>
      <c r="AB145" s="137">
        <f t="shared" si="123"/>
        <v>0</v>
      </c>
      <c r="AC145" s="137">
        <f t="shared" si="123"/>
        <v>0</v>
      </c>
      <c r="AD145" s="137">
        <f t="shared" si="123"/>
        <v>0</v>
      </c>
      <c r="AE145" s="136"/>
      <c r="AP145" s="108"/>
      <c r="AQ145" s="108"/>
      <c r="AR145" s="108"/>
      <c r="AS145" s="108"/>
    </row>
    <row r="146" spans="1:52" hidden="1">
      <c r="A146" s="1" t="str">
        <f>A143</f>
        <v>Uncheck to Hide</v>
      </c>
      <c r="B146" s="128"/>
      <c r="C146" s="112" t="s">
        <v>38</v>
      </c>
      <c r="D146" s="119"/>
      <c r="E146" s="120"/>
      <c r="F146" s="120"/>
      <c r="G146" s="120"/>
      <c r="H146" s="120"/>
      <c r="I146" s="120"/>
      <c r="J146" s="120"/>
      <c r="K146" s="120"/>
      <c r="L146" s="120"/>
      <c r="M146" s="120"/>
      <c r="N146" s="120"/>
      <c r="O146" s="120"/>
      <c r="P146" s="120"/>
      <c r="Q146" s="120"/>
      <c r="R146" s="120"/>
      <c r="S146" s="114">
        <f t="shared" ref="S146:AD146" si="124">IF($E$9="CA",IF(R145&lt;7000,$E$5*S144,($E$5-0.043)*S144),IF($E$9="IL",IF(R145&lt;12960,$E$5*S144,($E$5-0.04125)*S144),IF($E$9="PA",IF(R145&lt;10000,$E$5*S144,($E$5-0.071)*S144),IF($E$9="TX",IF(R145&lt;9000,$E$5*S144,($E$5-0.0363)*S144),$E$5*S144))))</f>
        <v>0</v>
      </c>
      <c r="T146" s="114">
        <f t="shared" si="124"/>
        <v>0</v>
      </c>
      <c r="U146" s="114">
        <f t="shared" si="124"/>
        <v>0</v>
      </c>
      <c r="V146" s="114">
        <f t="shared" si="124"/>
        <v>0</v>
      </c>
      <c r="W146" s="114">
        <f t="shared" si="124"/>
        <v>0</v>
      </c>
      <c r="X146" s="114">
        <f t="shared" si="124"/>
        <v>0</v>
      </c>
      <c r="Y146" s="114">
        <f t="shared" si="124"/>
        <v>0</v>
      </c>
      <c r="Z146" s="114">
        <f t="shared" si="124"/>
        <v>0</v>
      </c>
      <c r="AA146" s="114">
        <f t="shared" si="124"/>
        <v>0</v>
      </c>
      <c r="AB146" s="114">
        <f t="shared" si="124"/>
        <v>0</v>
      </c>
      <c r="AC146" s="114">
        <f t="shared" si="124"/>
        <v>0</v>
      </c>
      <c r="AD146" s="114">
        <f t="shared" si="124"/>
        <v>0</v>
      </c>
      <c r="AE146" s="115"/>
    </row>
    <row r="147" spans="1:52" hidden="1">
      <c r="A147" s="1" t="str">
        <f>A146</f>
        <v>Uncheck to Hide</v>
      </c>
      <c r="B147" s="128"/>
      <c r="C147" s="112" t="s">
        <v>114</v>
      </c>
      <c r="D147" s="119"/>
      <c r="E147" s="120"/>
      <c r="F147" s="120"/>
      <c r="G147" s="120"/>
      <c r="H147" s="120"/>
      <c r="I147" s="120"/>
      <c r="J147" s="120"/>
      <c r="K147" s="120"/>
      <c r="L147" s="120"/>
      <c r="M147" s="120"/>
      <c r="N147" s="120"/>
      <c r="O147" s="120"/>
      <c r="P147" s="120"/>
      <c r="Q147" s="120"/>
      <c r="R147" s="120"/>
      <c r="S147" s="117">
        <f t="shared" ref="S147:AD147" si="125">IF($E$9="WA",IF(S$1&lt;$G$6,$E$6*$N142*2*S$7+$CA$5*S144,$F$6*$N142*2*S$7+$CA$5*S144),IF($E$9="NV",IF(R145&gt;36000,0,IF(S$1&lt;$G$6,$E$6*S144,$F$6*S144)),IF(S$1&lt;$G$6,$E$6*S144,$F$6*S144)))</f>
        <v>0</v>
      </c>
      <c r="T147" s="117">
        <f t="shared" si="125"/>
        <v>0</v>
      </c>
      <c r="U147" s="117">
        <f t="shared" si="125"/>
        <v>0</v>
      </c>
      <c r="V147" s="117">
        <f t="shared" si="125"/>
        <v>0</v>
      </c>
      <c r="W147" s="117">
        <f t="shared" si="125"/>
        <v>0</v>
      </c>
      <c r="X147" s="117">
        <f t="shared" si="125"/>
        <v>0</v>
      </c>
      <c r="Y147" s="117">
        <f t="shared" si="125"/>
        <v>0</v>
      </c>
      <c r="Z147" s="117">
        <f t="shared" si="125"/>
        <v>0</v>
      </c>
      <c r="AA147" s="117">
        <f t="shared" si="125"/>
        <v>0</v>
      </c>
      <c r="AB147" s="117">
        <f t="shared" si="125"/>
        <v>0</v>
      </c>
      <c r="AC147" s="117">
        <f t="shared" si="125"/>
        <v>0</v>
      </c>
      <c r="AD147" s="117">
        <f t="shared" si="125"/>
        <v>0</v>
      </c>
      <c r="AE147" s="115"/>
    </row>
    <row r="148" spans="1:52" ht="13" hidden="1">
      <c r="A148" s="1" t="str">
        <f>A147</f>
        <v>Uncheck to Hide</v>
      </c>
      <c r="B148" s="111"/>
      <c r="C148" s="118" t="s">
        <v>86</v>
      </c>
      <c r="D148" s="113"/>
      <c r="E148" s="113"/>
      <c r="F148" s="113"/>
      <c r="G148" s="113"/>
      <c r="H148" s="113"/>
      <c r="I148" s="113"/>
      <c r="J148" s="113"/>
      <c r="K148" s="113"/>
      <c r="L148" s="113"/>
      <c r="M148" s="113"/>
      <c r="N148" s="113"/>
      <c r="O148" s="113"/>
      <c r="P148" s="113"/>
      <c r="Q148" s="113"/>
      <c r="R148" s="113"/>
      <c r="S148" s="117">
        <f t="shared" ref="S148:AD148" si="126">IF(S142=0,0,$H$11/26*S$7*IF(OR($G142=0,$G142=1),1,$G142))</f>
        <v>0</v>
      </c>
      <c r="T148" s="117">
        <f t="shared" si="126"/>
        <v>0</v>
      </c>
      <c r="U148" s="117">
        <f t="shared" si="126"/>
        <v>0</v>
      </c>
      <c r="V148" s="117">
        <f t="shared" si="126"/>
        <v>0</v>
      </c>
      <c r="W148" s="117">
        <f t="shared" si="126"/>
        <v>0</v>
      </c>
      <c r="X148" s="117">
        <f t="shared" si="126"/>
        <v>0</v>
      </c>
      <c r="Y148" s="117">
        <f t="shared" si="126"/>
        <v>0</v>
      </c>
      <c r="Z148" s="117">
        <f t="shared" si="126"/>
        <v>0</v>
      </c>
      <c r="AA148" s="117">
        <f t="shared" si="126"/>
        <v>0</v>
      </c>
      <c r="AB148" s="117">
        <f t="shared" si="126"/>
        <v>0</v>
      </c>
      <c r="AC148" s="117">
        <f t="shared" si="126"/>
        <v>0</v>
      </c>
      <c r="AD148" s="117">
        <f t="shared" si="126"/>
        <v>0</v>
      </c>
      <c r="AE148" s="115"/>
      <c r="AZ148" s="20"/>
    </row>
    <row r="149" spans="1:52" hidden="1">
      <c r="A149" s="1" t="str">
        <f>A147</f>
        <v>Uncheck to Hide</v>
      </c>
      <c r="B149" s="128"/>
      <c r="C149" s="118" t="str">
        <f>IF($E$9="CA","",$C$269)</f>
        <v>HEALTH INS. &amp; EMPL. BENEFITS</v>
      </c>
      <c r="D149" s="119"/>
      <c r="E149" s="120"/>
      <c r="F149" s="120"/>
      <c r="G149" s="120"/>
      <c r="H149" s="120"/>
      <c r="I149" s="120"/>
      <c r="J149" s="120"/>
      <c r="K149" s="120"/>
      <c r="L149" s="120"/>
      <c r="M149" s="120"/>
      <c r="N149" s="120"/>
      <c r="O149" s="120"/>
      <c r="P149" s="120"/>
      <c r="Q149" s="120"/>
      <c r="R149" s="120"/>
      <c r="S149" s="121">
        <f t="shared" ref="S149:AD149" si="127">IF(OR($E$9="CA",$E$9="CO",$E$9="OR",$E$9="WA"),0,IF($G142=0,0,$G142*$E$7*S$8/2+S144*$CC$6))</f>
        <v>0</v>
      </c>
      <c r="T149" s="121">
        <f t="shared" si="127"/>
        <v>0</v>
      </c>
      <c r="U149" s="121">
        <f t="shared" si="127"/>
        <v>0</v>
      </c>
      <c r="V149" s="121">
        <f t="shared" si="127"/>
        <v>0</v>
      </c>
      <c r="W149" s="121">
        <f t="shared" si="127"/>
        <v>0</v>
      </c>
      <c r="X149" s="121">
        <f t="shared" si="127"/>
        <v>0</v>
      </c>
      <c r="Y149" s="121">
        <f t="shared" si="127"/>
        <v>0</v>
      </c>
      <c r="Z149" s="121">
        <f t="shared" si="127"/>
        <v>0</v>
      </c>
      <c r="AA149" s="121">
        <f t="shared" si="127"/>
        <v>0</v>
      </c>
      <c r="AB149" s="121">
        <f t="shared" si="127"/>
        <v>0</v>
      </c>
      <c r="AC149" s="121">
        <f t="shared" si="127"/>
        <v>0</v>
      </c>
      <c r="AD149" s="121">
        <f t="shared" si="127"/>
        <v>0</v>
      </c>
      <c r="AE149" s="115"/>
    </row>
    <row r="150" spans="1:52" hidden="1">
      <c r="A150" s="1" t="str">
        <f>IF(F150+G150+H150+M150=0,"Uncheck to Hide","")</f>
        <v>Uncheck to Hide</v>
      </c>
      <c r="B150" s="74" t="s">
        <v>141</v>
      </c>
      <c r="C150" s="75" t="s">
        <v>142</v>
      </c>
      <c r="D150" s="76"/>
      <c r="E150" s="77"/>
      <c r="F150" s="78"/>
      <c r="G150" s="125"/>
      <c r="H150" s="80"/>
      <c r="I150" s="80">
        <v>15</v>
      </c>
      <c r="J150" s="81"/>
      <c r="K150" s="82"/>
      <c r="L150" s="83"/>
      <c r="M150" s="84">
        <f>ROUND(K150*(1+L150),2)</f>
        <v>0</v>
      </c>
      <c r="N150" s="85"/>
      <c r="O150" s="85"/>
      <c r="P150" s="86">
        <f>IF(SUM(S151:AD151)&gt;0,1,0)</f>
        <v>0</v>
      </c>
      <c r="Q150" s="87">
        <f>M150*N150*52</f>
        <v>0</v>
      </c>
      <c r="R150" s="88"/>
      <c r="S150" s="89">
        <f t="shared" ref="S150:AD150" si="128">IF(S151="",$M150*$N150*2*S$7+$P152*S$7+$O150*$M150*1.5*2*S$7+IF($O$10="Y",(SUMIF($CS$3:$DT$3,S$1,$CS$8:$DT$8)-SUMIF($CS$3:$DT$3,R$1,$CS$8:$DT$8))*($M150*$N150*2*S$7+$P152*S$7+$O150*$M150*1.5*2*S$7)/(S$7*14),0)+IF($O$11="Y",(SUMIF($CS$3:$DT$3,S$1,$CS$8:$DT$8)*CU$11-SUMIF($CS$3:$DT$3,R$1,$CS$8:$DT$8)*CT$11)*($M150*$N150*2*S$7+$P152*S$7+$O150*$M150*1.5*2*S$7)/(S$7*14),0),S151)</f>
        <v>0</v>
      </c>
      <c r="T150" s="89">
        <f t="shared" si="128"/>
        <v>0</v>
      </c>
      <c r="U150" s="89">
        <f t="shared" si="128"/>
        <v>0</v>
      </c>
      <c r="V150" s="89">
        <f t="shared" si="128"/>
        <v>0</v>
      </c>
      <c r="W150" s="89">
        <f t="shared" si="128"/>
        <v>0</v>
      </c>
      <c r="X150" s="89">
        <f t="shared" si="128"/>
        <v>0</v>
      </c>
      <c r="Y150" s="89">
        <f t="shared" si="128"/>
        <v>0</v>
      </c>
      <c r="Z150" s="89">
        <f t="shared" si="128"/>
        <v>0</v>
      </c>
      <c r="AA150" s="89">
        <f t="shared" si="128"/>
        <v>0</v>
      </c>
      <c r="AB150" s="89">
        <f t="shared" si="128"/>
        <v>0</v>
      </c>
      <c r="AC150" s="89">
        <f t="shared" si="128"/>
        <v>0</v>
      </c>
      <c r="AD150" s="89">
        <f t="shared" si="128"/>
        <v>0</v>
      </c>
      <c r="AE150" s="90">
        <f>SUM(S150:AD150)</f>
        <v>0</v>
      </c>
      <c r="AG150" s="6">
        <f>SUBTOTAL(9,AG151:AG167)</f>
        <v>0</v>
      </c>
      <c r="AH150" s="6" t="str">
        <f>Payroll!AG150&amp;" painter"&amp;IF(Payroll!AG150&gt;1,"s","")&amp;Payroll!AH151&amp;Payroll!AH159&amp;Payroll!AH167</f>
        <v>0 painter.</v>
      </c>
    </row>
    <row r="151" spans="1:52" hidden="1">
      <c r="A151" s="1" t="str">
        <f>A150</f>
        <v>Uncheck to Hide</v>
      </c>
      <c r="B151" s="92"/>
      <c r="C151" s="93"/>
      <c r="D151" s="93"/>
      <c r="E151" s="93"/>
      <c r="F151" s="93"/>
      <c r="G151" s="93"/>
      <c r="H151" s="93"/>
      <c r="I151" s="93"/>
      <c r="J151" s="93"/>
      <c r="K151" s="93"/>
      <c r="L151" s="93"/>
      <c r="M151" s="93"/>
      <c r="N151" s="93"/>
      <c r="O151" s="93"/>
      <c r="P151" s="93"/>
      <c r="Q151" s="93"/>
      <c r="R151" s="93"/>
      <c r="S151" s="94"/>
      <c r="T151" s="94"/>
      <c r="U151" s="94"/>
      <c r="V151" s="94"/>
      <c r="W151" s="94"/>
      <c r="X151" s="94"/>
      <c r="Y151" s="94"/>
      <c r="Z151" s="94"/>
      <c r="AA151" s="94"/>
      <c r="AB151" s="94"/>
      <c r="AC151" s="94"/>
      <c r="AD151" s="94"/>
      <c r="AE151" s="93"/>
      <c r="AG151" s="95">
        <f>IF(AE150=0,0,1)</f>
        <v>0</v>
      </c>
      <c r="AH151" s="6" t="str">
        <f>IF(AG151=0,"",IF(AG150&gt;1,", 1 at "," at ")&amp;"$"&amp;ROUND(M150,2)&amp;"/hour, working "&amp;N150&amp;" hours per week with"&amp;IF(E150&gt;0," housing","out housing"))</f>
        <v/>
      </c>
    </row>
    <row r="152" spans="1:52" s="58" customFormat="1" ht="12.75" hidden="1" customHeight="1">
      <c r="A152" s="96" t="s">
        <v>113</v>
      </c>
      <c r="B152" s="129"/>
      <c r="C152" s="130"/>
      <c r="D152" s="131"/>
      <c r="E152" s="131"/>
      <c r="F152" s="131"/>
      <c r="G152" s="132"/>
      <c r="H152" s="132"/>
      <c r="I152" s="132"/>
      <c r="J152" s="132"/>
      <c r="K152" s="132"/>
      <c r="L152" s="132"/>
      <c r="M152" s="133"/>
      <c r="N152" s="134"/>
      <c r="O152" s="134"/>
      <c r="P152" s="103">
        <f>+M150*N150*R150/AE$7</f>
        <v>0</v>
      </c>
      <c r="Q152" s="135"/>
      <c r="S152" s="106">
        <f t="shared" ref="S152:AD152" si="129">IF(S151&gt;0,S151-$P152*S$7,+S150-$P152*S$7)</f>
        <v>0</v>
      </c>
      <c r="T152" s="106">
        <f t="shared" si="129"/>
        <v>0</v>
      </c>
      <c r="U152" s="106">
        <f t="shared" si="129"/>
        <v>0</v>
      </c>
      <c r="V152" s="106">
        <f t="shared" si="129"/>
        <v>0</v>
      </c>
      <c r="W152" s="106">
        <f t="shared" si="129"/>
        <v>0</v>
      </c>
      <c r="X152" s="106">
        <f t="shared" si="129"/>
        <v>0</v>
      </c>
      <c r="Y152" s="106">
        <f t="shared" si="129"/>
        <v>0</v>
      </c>
      <c r="Z152" s="106">
        <f t="shared" si="129"/>
        <v>0</v>
      </c>
      <c r="AA152" s="106">
        <f t="shared" si="129"/>
        <v>0</v>
      </c>
      <c r="AB152" s="106">
        <f t="shared" si="129"/>
        <v>0</v>
      </c>
      <c r="AC152" s="106">
        <f t="shared" si="129"/>
        <v>0</v>
      </c>
      <c r="AD152" s="106">
        <f t="shared" si="129"/>
        <v>0</v>
      </c>
      <c r="AE152" s="136"/>
      <c r="AP152" s="108"/>
      <c r="AQ152" s="108"/>
      <c r="AR152" s="108"/>
      <c r="AS152" s="108"/>
    </row>
    <row r="153" spans="1:52" s="58" customFormat="1" ht="12.75" hidden="1" customHeight="1">
      <c r="A153" s="96" t="s">
        <v>113</v>
      </c>
      <c r="B153" s="129"/>
      <c r="C153" s="130"/>
      <c r="D153" s="131"/>
      <c r="E153" s="131"/>
      <c r="F153" s="131"/>
      <c r="G153" s="132"/>
      <c r="H153" s="132"/>
      <c r="I153" s="132"/>
      <c r="J153" s="132"/>
      <c r="K153" s="132"/>
      <c r="L153" s="132"/>
      <c r="M153" s="133"/>
      <c r="N153" s="134"/>
      <c r="O153" s="134"/>
      <c r="P153" s="131"/>
      <c r="Q153" s="135"/>
      <c r="R153" s="135"/>
      <c r="S153" s="137">
        <f>+S152</f>
        <v>0</v>
      </c>
      <c r="T153" s="137">
        <f t="shared" ref="T153:AD153" si="130">+T152+S153</f>
        <v>0</v>
      </c>
      <c r="U153" s="137">
        <f t="shared" si="130"/>
        <v>0</v>
      </c>
      <c r="V153" s="137">
        <f t="shared" si="130"/>
        <v>0</v>
      </c>
      <c r="W153" s="137">
        <f t="shared" si="130"/>
        <v>0</v>
      </c>
      <c r="X153" s="137">
        <f t="shared" si="130"/>
        <v>0</v>
      </c>
      <c r="Y153" s="137">
        <f t="shared" si="130"/>
        <v>0</v>
      </c>
      <c r="Z153" s="137">
        <f t="shared" si="130"/>
        <v>0</v>
      </c>
      <c r="AA153" s="137">
        <f t="shared" si="130"/>
        <v>0</v>
      </c>
      <c r="AB153" s="137">
        <f t="shared" si="130"/>
        <v>0</v>
      </c>
      <c r="AC153" s="137">
        <f t="shared" si="130"/>
        <v>0</v>
      </c>
      <c r="AD153" s="137">
        <f t="shared" si="130"/>
        <v>0</v>
      </c>
      <c r="AE153" s="136"/>
      <c r="AP153" s="108"/>
      <c r="AQ153" s="108"/>
      <c r="AR153" s="108"/>
      <c r="AS153" s="108"/>
    </row>
    <row r="154" spans="1:52" hidden="1">
      <c r="A154" s="1" t="str">
        <f>A151</f>
        <v>Uncheck to Hide</v>
      </c>
      <c r="B154" s="128"/>
      <c r="C154" s="112" t="s">
        <v>38</v>
      </c>
      <c r="D154" s="119"/>
      <c r="E154" s="120"/>
      <c r="F154" s="120"/>
      <c r="G154" s="120"/>
      <c r="H154" s="120"/>
      <c r="I154" s="120"/>
      <c r="J154" s="120"/>
      <c r="K154" s="120"/>
      <c r="L154" s="120"/>
      <c r="M154" s="120"/>
      <c r="N154" s="120"/>
      <c r="O154" s="120"/>
      <c r="P154" s="120"/>
      <c r="Q154" s="120"/>
      <c r="R154" s="120"/>
      <c r="S154" s="114">
        <f t="shared" ref="S154:AD154" si="131">IF($E$9="CA",IF(R153&lt;7000,$E$5*S152,($E$5-0.043)*S152),IF($E$9="IL",IF(R153&lt;12960,$E$5*S152,($E$5-0.04125)*S152),IF($E$9="PA",IF(R153&lt;10000,$E$5*S152,($E$5-0.071)*S152),IF($E$9="TX",IF(R153&lt;9000,$E$5*S152,($E$5-0.0363)*S152),$E$5*S152))))</f>
        <v>0</v>
      </c>
      <c r="T154" s="114">
        <f t="shared" si="131"/>
        <v>0</v>
      </c>
      <c r="U154" s="114">
        <f t="shared" si="131"/>
        <v>0</v>
      </c>
      <c r="V154" s="114">
        <f t="shared" si="131"/>
        <v>0</v>
      </c>
      <c r="W154" s="114">
        <f t="shared" si="131"/>
        <v>0</v>
      </c>
      <c r="X154" s="114">
        <f t="shared" si="131"/>
        <v>0</v>
      </c>
      <c r="Y154" s="114">
        <f t="shared" si="131"/>
        <v>0</v>
      </c>
      <c r="Z154" s="114">
        <f t="shared" si="131"/>
        <v>0</v>
      </c>
      <c r="AA154" s="114">
        <f t="shared" si="131"/>
        <v>0</v>
      </c>
      <c r="AB154" s="114">
        <f t="shared" si="131"/>
        <v>0</v>
      </c>
      <c r="AC154" s="114">
        <f t="shared" si="131"/>
        <v>0</v>
      </c>
      <c r="AD154" s="114">
        <f t="shared" si="131"/>
        <v>0</v>
      </c>
      <c r="AE154" s="115"/>
    </row>
    <row r="155" spans="1:52" hidden="1">
      <c r="A155" s="1" t="str">
        <f>A154</f>
        <v>Uncheck to Hide</v>
      </c>
      <c r="B155" s="128"/>
      <c r="C155" s="112" t="s">
        <v>114</v>
      </c>
      <c r="D155" s="119"/>
      <c r="E155" s="120"/>
      <c r="F155" s="120"/>
      <c r="G155" s="120"/>
      <c r="H155" s="120"/>
      <c r="I155" s="120"/>
      <c r="J155" s="120"/>
      <c r="K155" s="120"/>
      <c r="L155" s="120"/>
      <c r="M155" s="120"/>
      <c r="N155" s="120"/>
      <c r="O155" s="120"/>
      <c r="P155" s="120"/>
      <c r="Q155" s="120"/>
      <c r="R155" s="120"/>
      <c r="S155" s="117">
        <f t="shared" ref="S155:AD155" si="132">IF($E$9="WA",IF(S$1&lt;$G$6,$E$6*$N150*2*S$7+$CA$5*S152,$F$6*$N150*2*S$7+$CA$5*S152),IF($E$9="NV",IF(R153&gt;36000,0,IF(S$1&lt;$G$6,$E$6*S152,$F$6*S152)),IF(S$1&lt;$G$6,$E$6*S152,$F$6*S152)))</f>
        <v>0</v>
      </c>
      <c r="T155" s="117">
        <f t="shared" si="132"/>
        <v>0</v>
      </c>
      <c r="U155" s="117">
        <f t="shared" si="132"/>
        <v>0</v>
      </c>
      <c r="V155" s="117">
        <f t="shared" si="132"/>
        <v>0</v>
      </c>
      <c r="W155" s="117">
        <f t="shared" si="132"/>
        <v>0</v>
      </c>
      <c r="X155" s="117">
        <f t="shared" si="132"/>
        <v>0</v>
      </c>
      <c r="Y155" s="117">
        <f t="shared" si="132"/>
        <v>0</v>
      </c>
      <c r="Z155" s="117">
        <f t="shared" si="132"/>
        <v>0</v>
      </c>
      <c r="AA155" s="117">
        <f t="shared" si="132"/>
        <v>0</v>
      </c>
      <c r="AB155" s="117">
        <f t="shared" si="132"/>
        <v>0</v>
      </c>
      <c r="AC155" s="117">
        <f t="shared" si="132"/>
        <v>0</v>
      </c>
      <c r="AD155" s="117">
        <f t="shared" si="132"/>
        <v>0</v>
      </c>
      <c r="AE155" s="115"/>
    </row>
    <row r="156" spans="1:52" ht="13" hidden="1">
      <c r="A156" s="1" t="str">
        <f>A155</f>
        <v>Uncheck to Hide</v>
      </c>
      <c r="B156" s="111"/>
      <c r="C156" s="118" t="s">
        <v>86</v>
      </c>
      <c r="D156" s="113"/>
      <c r="E156" s="113"/>
      <c r="F156" s="113"/>
      <c r="G156" s="113"/>
      <c r="H156" s="113"/>
      <c r="I156" s="113"/>
      <c r="J156" s="113"/>
      <c r="K156" s="113"/>
      <c r="L156" s="113"/>
      <c r="M156" s="113"/>
      <c r="N156" s="113"/>
      <c r="O156" s="113"/>
      <c r="P156" s="113"/>
      <c r="Q156" s="113"/>
      <c r="R156" s="113"/>
      <c r="S156" s="117">
        <f t="shared" ref="S156:AD156" si="133">IF(S150=0,0,$H$11/26*S$7*IF(OR($G150=0,$G150=1),1,$G150))</f>
        <v>0</v>
      </c>
      <c r="T156" s="117">
        <f t="shared" si="133"/>
        <v>0</v>
      </c>
      <c r="U156" s="117">
        <f t="shared" si="133"/>
        <v>0</v>
      </c>
      <c r="V156" s="117">
        <f t="shared" si="133"/>
        <v>0</v>
      </c>
      <c r="W156" s="117">
        <f t="shared" si="133"/>
        <v>0</v>
      </c>
      <c r="X156" s="117">
        <f t="shared" si="133"/>
        <v>0</v>
      </c>
      <c r="Y156" s="117">
        <f t="shared" si="133"/>
        <v>0</v>
      </c>
      <c r="Z156" s="117">
        <f t="shared" si="133"/>
        <v>0</v>
      </c>
      <c r="AA156" s="117">
        <f t="shared" si="133"/>
        <v>0</v>
      </c>
      <c r="AB156" s="117">
        <f t="shared" si="133"/>
        <v>0</v>
      </c>
      <c r="AC156" s="117">
        <f t="shared" si="133"/>
        <v>0</v>
      </c>
      <c r="AD156" s="117">
        <f t="shared" si="133"/>
        <v>0</v>
      </c>
      <c r="AE156" s="115"/>
      <c r="AZ156" s="20"/>
    </row>
    <row r="157" spans="1:52" hidden="1">
      <c r="A157" s="1" t="str">
        <f>A155</f>
        <v>Uncheck to Hide</v>
      </c>
      <c r="B157" s="128"/>
      <c r="C157" s="118" t="str">
        <f>IF($E$9="CA","",$C$269)</f>
        <v>HEALTH INS. &amp; EMPL. BENEFITS</v>
      </c>
      <c r="D157" s="119"/>
      <c r="E157" s="120"/>
      <c r="F157" s="120"/>
      <c r="G157" s="120"/>
      <c r="H157" s="120"/>
      <c r="I157" s="120"/>
      <c r="J157" s="120"/>
      <c r="K157" s="120"/>
      <c r="L157" s="120"/>
      <c r="M157" s="120"/>
      <c r="N157" s="120"/>
      <c r="O157" s="120"/>
      <c r="P157" s="120"/>
      <c r="Q157" s="120"/>
      <c r="R157" s="120"/>
      <c r="S157" s="121">
        <f t="shared" ref="S157:AD157" si="134">IF(OR($E$9="CA",$E$9="CO",$E$9="OR",$E$9="WA"),0,IF($G150=0,0,$G150*$E$7*S$8/2+S152*$CC$6))</f>
        <v>0</v>
      </c>
      <c r="T157" s="121">
        <f t="shared" si="134"/>
        <v>0</v>
      </c>
      <c r="U157" s="121">
        <f t="shared" si="134"/>
        <v>0</v>
      </c>
      <c r="V157" s="121">
        <f t="shared" si="134"/>
        <v>0</v>
      </c>
      <c r="W157" s="121">
        <f t="shared" si="134"/>
        <v>0</v>
      </c>
      <c r="X157" s="121">
        <f t="shared" si="134"/>
        <v>0</v>
      </c>
      <c r="Y157" s="121">
        <f t="shared" si="134"/>
        <v>0</v>
      </c>
      <c r="Z157" s="121">
        <f t="shared" si="134"/>
        <v>0</v>
      </c>
      <c r="AA157" s="121">
        <f t="shared" si="134"/>
        <v>0</v>
      </c>
      <c r="AB157" s="121">
        <f t="shared" si="134"/>
        <v>0</v>
      </c>
      <c r="AC157" s="121">
        <f t="shared" si="134"/>
        <v>0</v>
      </c>
      <c r="AD157" s="121">
        <f t="shared" si="134"/>
        <v>0</v>
      </c>
      <c r="AE157" s="115"/>
    </row>
    <row r="158" spans="1:52" hidden="1">
      <c r="A158" s="1" t="str">
        <f>IF(F158+G158+H158+M158=0,"Uncheck to Hide","")</f>
        <v>Uncheck to Hide</v>
      </c>
      <c r="B158" s="74" t="str">
        <f>B150</f>
        <v>6560-000  INTERIOR PAINTING PAYROLL</v>
      </c>
      <c r="C158" s="75" t="s">
        <v>143</v>
      </c>
      <c r="D158" s="76"/>
      <c r="E158" s="77"/>
      <c r="F158" s="78"/>
      <c r="G158" s="125"/>
      <c r="H158" s="80"/>
      <c r="I158" s="80">
        <v>15</v>
      </c>
      <c r="J158" s="81"/>
      <c r="K158" s="82"/>
      <c r="L158" s="83"/>
      <c r="M158" s="84">
        <f>ROUND(K158*(1+L158),2)</f>
        <v>0</v>
      </c>
      <c r="N158" s="85"/>
      <c r="O158" s="85"/>
      <c r="P158" s="86">
        <f>IF(SUM(S159:AD159)&gt;0,1,0)</f>
        <v>0</v>
      </c>
      <c r="Q158" s="87">
        <f>M158*N158*52</f>
        <v>0</v>
      </c>
      <c r="R158" s="88"/>
      <c r="S158" s="89">
        <f t="shared" ref="S158:AD158" si="135">IF(S159="",$M158*$N158*2*S$7+$P160*S$7+$O158*$M158*1.5*2*S$7+IF($O$10="Y",(SUMIF($CS$3:$DT$3,S$1,$CS$8:$DT$8)-SUMIF($CS$3:$DT$3,R$1,$CS$8:$DT$8))*($M158*$N158*2*S$7+$P160*S$7+$O158*$M158*1.5*2*S$7)/(S$7*14),0)+IF($O$11="Y",(SUMIF($CS$3:$DT$3,S$1,$CS$8:$DT$8)*CU$11-SUMIF($CS$3:$DT$3,R$1,$CS$8:$DT$8)*CT$11)*($M158*$N158*2*S$7+$P160*S$7+$O158*$M158*1.5*2*S$7)/(S$7*14),0),S159)</f>
        <v>0</v>
      </c>
      <c r="T158" s="89">
        <f t="shared" si="135"/>
        <v>0</v>
      </c>
      <c r="U158" s="89">
        <f t="shared" si="135"/>
        <v>0</v>
      </c>
      <c r="V158" s="89">
        <f t="shared" si="135"/>
        <v>0</v>
      </c>
      <c r="W158" s="89">
        <f t="shared" si="135"/>
        <v>0</v>
      </c>
      <c r="X158" s="89">
        <f t="shared" si="135"/>
        <v>0</v>
      </c>
      <c r="Y158" s="89">
        <f t="shared" si="135"/>
        <v>0</v>
      </c>
      <c r="Z158" s="89">
        <f t="shared" si="135"/>
        <v>0</v>
      </c>
      <c r="AA158" s="89">
        <f t="shared" si="135"/>
        <v>0</v>
      </c>
      <c r="AB158" s="89">
        <f t="shared" si="135"/>
        <v>0</v>
      </c>
      <c r="AC158" s="89">
        <f t="shared" si="135"/>
        <v>0</v>
      </c>
      <c r="AD158" s="89">
        <f t="shared" si="135"/>
        <v>0</v>
      </c>
      <c r="AE158" s="90">
        <f>SUM(S158:AD158)</f>
        <v>0</v>
      </c>
    </row>
    <row r="159" spans="1:52" hidden="1">
      <c r="A159" s="1" t="str">
        <f>A158</f>
        <v>Uncheck to Hide</v>
      </c>
      <c r="B159" s="92"/>
      <c r="C159" s="93"/>
      <c r="D159" s="93"/>
      <c r="E159" s="93"/>
      <c r="F159" s="93"/>
      <c r="G159" s="93"/>
      <c r="H159" s="93"/>
      <c r="I159" s="93"/>
      <c r="J159" s="93"/>
      <c r="K159" s="93"/>
      <c r="L159" s="93"/>
      <c r="M159" s="93"/>
      <c r="N159" s="93"/>
      <c r="O159" s="93"/>
      <c r="P159" s="93"/>
      <c r="Q159" s="93"/>
      <c r="R159" s="93"/>
      <c r="S159" s="94"/>
      <c r="T159" s="94"/>
      <c r="U159" s="94"/>
      <c r="V159" s="94"/>
      <c r="W159" s="94"/>
      <c r="X159" s="94"/>
      <c r="Y159" s="94"/>
      <c r="Z159" s="94"/>
      <c r="AA159" s="94"/>
      <c r="AB159" s="94"/>
      <c r="AC159" s="94"/>
      <c r="AD159" s="94"/>
      <c r="AE159" s="93"/>
      <c r="AG159" s="95">
        <f>IF(AE158=0,0,1)</f>
        <v>0</v>
      </c>
      <c r="AH159" s="6" t="str">
        <f>IF(AG159=0,"",IF(AG150&gt;1,", 1 at "," at ")&amp;"$"&amp;ROUND(M158,2)&amp;"/hour, working "&amp;N158&amp;" hours per week with"&amp;IF(E158&gt;0," housing","out housing"))</f>
        <v/>
      </c>
    </row>
    <row r="160" spans="1:52" s="58" customFormat="1" ht="12.75" hidden="1" customHeight="1">
      <c r="A160" s="96" t="s">
        <v>113</v>
      </c>
      <c r="B160" s="129"/>
      <c r="C160" s="130"/>
      <c r="D160" s="131"/>
      <c r="E160" s="131"/>
      <c r="F160" s="131"/>
      <c r="G160" s="132"/>
      <c r="H160" s="132"/>
      <c r="I160" s="132"/>
      <c r="J160" s="132"/>
      <c r="K160" s="132"/>
      <c r="L160" s="132"/>
      <c r="M160" s="133"/>
      <c r="N160" s="134"/>
      <c r="O160" s="134"/>
      <c r="P160" s="103">
        <f>+M158*N158*R158/AE$7</f>
        <v>0</v>
      </c>
      <c r="Q160" s="135"/>
      <c r="S160" s="106">
        <f t="shared" ref="S160:AD160" si="136">IF(S159&gt;0,S159-$P160*S$7,+S158-$P160*S$7)</f>
        <v>0</v>
      </c>
      <c r="T160" s="106">
        <f t="shared" si="136"/>
        <v>0</v>
      </c>
      <c r="U160" s="106">
        <f t="shared" si="136"/>
        <v>0</v>
      </c>
      <c r="V160" s="106">
        <f t="shared" si="136"/>
        <v>0</v>
      </c>
      <c r="W160" s="106">
        <f t="shared" si="136"/>
        <v>0</v>
      </c>
      <c r="X160" s="106">
        <f t="shared" si="136"/>
        <v>0</v>
      </c>
      <c r="Y160" s="106">
        <f t="shared" si="136"/>
        <v>0</v>
      </c>
      <c r="Z160" s="106">
        <f t="shared" si="136"/>
        <v>0</v>
      </c>
      <c r="AA160" s="106">
        <f t="shared" si="136"/>
        <v>0</v>
      </c>
      <c r="AB160" s="106">
        <f t="shared" si="136"/>
        <v>0</v>
      </c>
      <c r="AC160" s="106">
        <f t="shared" si="136"/>
        <v>0</v>
      </c>
      <c r="AD160" s="106">
        <f t="shared" si="136"/>
        <v>0</v>
      </c>
      <c r="AE160" s="136"/>
      <c r="AP160" s="108"/>
      <c r="AQ160" s="108"/>
      <c r="AR160" s="108"/>
      <c r="AS160" s="108"/>
    </row>
    <row r="161" spans="1:52" s="58" customFormat="1" ht="12.75" hidden="1" customHeight="1">
      <c r="A161" s="96" t="s">
        <v>113</v>
      </c>
      <c r="B161" s="129"/>
      <c r="C161" s="130"/>
      <c r="D161" s="131"/>
      <c r="E161" s="131"/>
      <c r="F161" s="131"/>
      <c r="G161" s="132"/>
      <c r="H161" s="132"/>
      <c r="I161" s="132"/>
      <c r="J161" s="132"/>
      <c r="K161" s="132"/>
      <c r="L161" s="132"/>
      <c r="M161" s="133"/>
      <c r="N161" s="134"/>
      <c r="O161" s="134"/>
      <c r="P161" s="131"/>
      <c r="Q161" s="135"/>
      <c r="R161" s="135"/>
      <c r="S161" s="137">
        <f>+S160</f>
        <v>0</v>
      </c>
      <c r="T161" s="137">
        <f t="shared" ref="T161:AD161" si="137">+T160+S161</f>
        <v>0</v>
      </c>
      <c r="U161" s="137">
        <f t="shared" si="137"/>
        <v>0</v>
      </c>
      <c r="V161" s="137">
        <f t="shared" si="137"/>
        <v>0</v>
      </c>
      <c r="W161" s="137">
        <f t="shared" si="137"/>
        <v>0</v>
      </c>
      <c r="X161" s="137">
        <f t="shared" si="137"/>
        <v>0</v>
      </c>
      <c r="Y161" s="137">
        <f t="shared" si="137"/>
        <v>0</v>
      </c>
      <c r="Z161" s="137">
        <f t="shared" si="137"/>
        <v>0</v>
      </c>
      <c r="AA161" s="137">
        <f t="shared" si="137"/>
        <v>0</v>
      </c>
      <c r="AB161" s="137">
        <f t="shared" si="137"/>
        <v>0</v>
      </c>
      <c r="AC161" s="137">
        <f t="shared" si="137"/>
        <v>0</v>
      </c>
      <c r="AD161" s="137">
        <f t="shared" si="137"/>
        <v>0</v>
      </c>
      <c r="AE161" s="136"/>
      <c r="AP161" s="108"/>
      <c r="AQ161" s="108"/>
      <c r="AR161" s="108"/>
      <c r="AS161" s="108"/>
    </row>
    <row r="162" spans="1:52" hidden="1">
      <c r="A162" s="1" t="str">
        <f>A159</f>
        <v>Uncheck to Hide</v>
      </c>
      <c r="B162" s="128"/>
      <c r="C162" s="112" t="s">
        <v>38</v>
      </c>
      <c r="D162" s="119"/>
      <c r="E162" s="120"/>
      <c r="F162" s="120"/>
      <c r="G162" s="120"/>
      <c r="H162" s="120"/>
      <c r="I162" s="120"/>
      <c r="J162" s="120"/>
      <c r="K162" s="120"/>
      <c r="L162" s="120"/>
      <c r="M162" s="120"/>
      <c r="N162" s="120"/>
      <c r="O162" s="120"/>
      <c r="P162" s="120"/>
      <c r="Q162" s="120"/>
      <c r="R162" s="120"/>
      <c r="S162" s="114">
        <f t="shared" ref="S162:AD162" si="138">IF($E$9="CA",IF(R161&lt;7000,$E$5*S160,($E$5-0.043)*S160),IF($E$9="IL",IF(R161&lt;12960,$E$5*S160,($E$5-0.04125)*S160),IF($E$9="PA",IF(R161&lt;10000,$E$5*S160,($E$5-0.071)*S160),IF($E$9="TX",IF(R161&lt;9000,$E$5*S160,($E$5-0.0363)*S160),$E$5*S160))))</f>
        <v>0</v>
      </c>
      <c r="T162" s="114">
        <f t="shared" si="138"/>
        <v>0</v>
      </c>
      <c r="U162" s="114">
        <f t="shared" si="138"/>
        <v>0</v>
      </c>
      <c r="V162" s="114">
        <f t="shared" si="138"/>
        <v>0</v>
      </c>
      <c r="W162" s="114">
        <f t="shared" si="138"/>
        <v>0</v>
      </c>
      <c r="X162" s="114">
        <f t="shared" si="138"/>
        <v>0</v>
      </c>
      <c r="Y162" s="114">
        <f t="shared" si="138"/>
        <v>0</v>
      </c>
      <c r="Z162" s="114">
        <f t="shared" si="138"/>
        <v>0</v>
      </c>
      <c r="AA162" s="114">
        <f t="shared" si="138"/>
        <v>0</v>
      </c>
      <c r="AB162" s="114">
        <f t="shared" si="138"/>
        <v>0</v>
      </c>
      <c r="AC162" s="114">
        <f t="shared" si="138"/>
        <v>0</v>
      </c>
      <c r="AD162" s="114">
        <f t="shared" si="138"/>
        <v>0</v>
      </c>
      <c r="AE162" s="115"/>
    </row>
    <row r="163" spans="1:52" hidden="1">
      <c r="A163" s="1" t="str">
        <f>A162</f>
        <v>Uncheck to Hide</v>
      </c>
      <c r="B163" s="128"/>
      <c r="C163" s="112" t="s">
        <v>114</v>
      </c>
      <c r="D163" s="119"/>
      <c r="E163" s="120"/>
      <c r="F163" s="120"/>
      <c r="G163" s="120"/>
      <c r="H163" s="120"/>
      <c r="I163" s="120"/>
      <c r="J163" s="120"/>
      <c r="K163" s="120"/>
      <c r="L163" s="120"/>
      <c r="M163" s="120"/>
      <c r="N163" s="120"/>
      <c r="O163" s="120"/>
      <c r="P163" s="120"/>
      <c r="Q163" s="120"/>
      <c r="R163" s="120"/>
      <c r="S163" s="117">
        <f t="shared" ref="S163:AD163" si="139">IF($E$9="WA",IF(S$1&lt;$G$6,$E$6*$N158*2*S$7+$CA$5*S160,$F$6*$N158*2*S$7+$CA$5*S160),IF($E$9="NV",IF(R161&gt;36000,0,IF(S$1&lt;$G$6,$E$6*S160,$F$6*S160)),IF(S$1&lt;$G$6,$E$6*S160,$F$6*S160)))</f>
        <v>0</v>
      </c>
      <c r="T163" s="117">
        <f t="shared" si="139"/>
        <v>0</v>
      </c>
      <c r="U163" s="117">
        <f t="shared" si="139"/>
        <v>0</v>
      </c>
      <c r="V163" s="117">
        <f t="shared" si="139"/>
        <v>0</v>
      </c>
      <c r="W163" s="117">
        <f t="shared" si="139"/>
        <v>0</v>
      </c>
      <c r="X163" s="117">
        <f t="shared" si="139"/>
        <v>0</v>
      </c>
      <c r="Y163" s="117">
        <f t="shared" si="139"/>
        <v>0</v>
      </c>
      <c r="Z163" s="117">
        <f t="shared" si="139"/>
        <v>0</v>
      </c>
      <c r="AA163" s="117">
        <f t="shared" si="139"/>
        <v>0</v>
      </c>
      <c r="AB163" s="117">
        <f t="shared" si="139"/>
        <v>0</v>
      </c>
      <c r="AC163" s="117">
        <f t="shared" si="139"/>
        <v>0</v>
      </c>
      <c r="AD163" s="117">
        <f t="shared" si="139"/>
        <v>0</v>
      </c>
      <c r="AE163" s="115"/>
    </row>
    <row r="164" spans="1:52" ht="13" hidden="1">
      <c r="A164" s="1" t="str">
        <f>A163</f>
        <v>Uncheck to Hide</v>
      </c>
      <c r="B164" s="111"/>
      <c r="C164" s="118" t="s">
        <v>86</v>
      </c>
      <c r="D164" s="113"/>
      <c r="E164" s="113"/>
      <c r="F164" s="113"/>
      <c r="G164" s="113"/>
      <c r="H164" s="113"/>
      <c r="I164" s="113"/>
      <c r="J164" s="113"/>
      <c r="K164" s="113"/>
      <c r="L164" s="113"/>
      <c r="M164" s="113"/>
      <c r="N164" s="113"/>
      <c r="O164" s="113"/>
      <c r="P164" s="113"/>
      <c r="Q164" s="113"/>
      <c r="R164" s="113"/>
      <c r="S164" s="117">
        <f t="shared" ref="S164:AD164" si="140">IF(S158=0,0,$H$11/26*S$7*IF(OR($G158=0,$G158=1),1,$G158))</f>
        <v>0</v>
      </c>
      <c r="T164" s="117">
        <f t="shared" si="140"/>
        <v>0</v>
      </c>
      <c r="U164" s="117">
        <f t="shared" si="140"/>
        <v>0</v>
      </c>
      <c r="V164" s="117">
        <f t="shared" si="140"/>
        <v>0</v>
      </c>
      <c r="W164" s="117">
        <f t="shared" si="140"/>
        <v>0</v>
      </c>
      <c r="X164" s="117">
        <f t="shared" si="140"/>
        <v>0</v>
      </c>
      <c r="Y164" s="117">
        <f t="shared" si="140"/>
        <v>0</v>
      </c>
      <c r="Z164" s="117">
        <f t="shared" si="140"/>
        <v>0</v>
      </c>
      <c r="AA164" s="117">
        <f t="shared" si="140"/>
        <v>0</v>
      </c>
      <c r="AB164" s="117">
        <f t="shared" si="140"/>
        <v>0</v>
      </c>
      <c r="AC164" s="117">
        <f t="shared" si="140"/>
        <v>0</v>
      </c>
      <c r="AD164" s="117">
        <f t="shared" si="140"/>
        <v>0</v>
      </c>
      <c r="AE164" s="115"/>
      <c r="AZ164" s="20"/>
    </row>
    <row r="165" spans="1:52" hidden="1">
      <c r="A165" s="1" t="str">
        <f>A163</f>
        <v>Uncheck to Hide</v>
      </c>
      <c r="B165" s="128"/>
      <c r="C165" s="118" t="str">
        <f>IF($E$9="CA","",$C$269)</f>
        <v>HEALTH INS. &amp; EMPL. BENEFITS</v>
      </c>
      <c r="D165" s="119"/>
      <c r="E165" s="120"/>
      <c r="F165" s="120"/>
      <c r="G165" s="120"/>
      <c r="H165" s="120"/>
      <c r="I165" s="120"/>
      <c r="J165" s="120"/>
      <c r="K165" s="120"/>
      <c r="L165" s="120"/>
      <c r="M165" s="120"/>
      <c r="N165" s="120"/>
      <c r="O165" s="120"/>
      <c r="P165" s="120"/>
      <c r="Q165" s="120"/>
      <c r="R165" s="120"/>
      <c r="S165" s="121">
        <f t="shared" ref="S165:AD165" si="141">IF(OR($E$9="CA",$E$9="CO",$E$9="OR",$E$9="WA"),0,IF($G158=0,0,$G158*$E$7*S$8/2+S160*$CC$6))</f>
        <v>0</v>
      </c>
      <c r="T165" s="121">
        <f t="shared" si="141"/>
        <v>0</v>
      </c>
      <c r="U165" s="121">
        <f t="shared" si="141"/>
        <v>0</v>
      </c>
      <c r="V165" s="121">
        <f t="shared" si="141"/>
        <v>0</v>
      </c>
      <c r="W165" s="121">
        <f t="shared" si="141"/>
        <v>0</v>
      </c>
      <c r="X165" s="121">
        <f t="shared" si="141"/>
        <v>0</v>
      </c>
      <c r="Y165" s="121">
        <f t="shared" si="141"/>
        <v>0</v>
      </c>
      <c r="Z165" s="121">
        <f t="shared" si="141"/>
        <v>0</v>
      </c>
      <c r="AA165" s="121">
        <f t="shared" si="141"/>
        <v>0</v>
      </c>
      <c r="AB165" s="121">
        <f t="shared" si="141"/>
        <v>0</v>
      </c>
      <c r="AC165" s="121">
        <f t="shared" si="141"/>
        <v>0</v>
      </c>
      <c r="AD165" s="121">
        <f t="shared" si="141"/>
        <v>0</v>
      </c>
      <c r="AE165" s="115"/>
    </row>
    <row r="166" spans="1:52" hidden="1">
      <c r="A166" s="1" t="str">
        <f>IF(F166+G166+H166+M166=0,"Uncheck to Hide","")</f>
        <v>Uncheck to Hide</v>
      </c>
      <c r="B166" s="74" t="str">
        <f>B158</f>
        <v>6560-000  INTERIOR PAINTING PAYROLL</v>
      </c>
      <c r="C166" s="75" t="s">
        <v>144</v>
      </c>
      <c r="D166" s="76"/>
      <c r="E166" s="77"/>
      <c r="F166" s="78"/>
      <c r="G166" s="125"/>
      <c r="H166" s="80"/>
      <c r="I166" s="80">
        <v>15</v>
      </c>
      <c r="J166" s="81"/>
      <c r="K166" s="82"/>
      <c r="L166" s="83"/>
      <c r="M166" s="84">
        <f>ROUND(K166*(1+L166),2)</f>
        <v>0</v>
      </c>
      <c r="N166" s="85"/>
      <c r="O166" s="85"/>
      <c r="P166" s="86">
        <f>IF(SUM(S167:AD167)&gt;0,1,0)</f>
        <v>0</v>
      </c>
      <c r="Q166" s="87">
        <f>M166*N166*52</f>
        <v>0</v>
      </c>
      <c r="R166" s="88"/>
      <c r="S166" s="89">
        <f t="shared" ref="S166:AD166" si="142">IF(S167="",$M166*$N166*2*S$7+$P168*S$7+$O166*$M166*1.5*2*S$7+IF($O$10="Y",(SUMIF($CS$3:$DT$3,S$1,$CS$8:$DT$8)-SUMIF($CS$3:$DT$3,R$1,$CS$8:$DT$8))*($M166*$N166*2*S$7+$P168*S$7+$O166*$M166*1.5*2*S$7)/(S$7*14),0)+IF($O$11="Y",(SUMIF($CS$3:$DT$3,S$1,$CS$8:$DT$8)*CU$11-SUMIF($CS$3:$DT$3,R$1,$CS$8:$DT$8)*CT$11)*($M166*$N166*2*S$7+$P168*S$7+$O166*$M166*1.5*2*S$7)/(S$7*14),0),S167)</f>
        <v>0</v>
      </c>
      <c r="T166" s="89">
        <f t="shared" si="142"/>
        <v>0</v>
      </c>
      <c r="U166" s="89">
        <f t="shared" si="142"/>
        <v>0</v>
      </c>
      <c r="V166" s="89">
        <f t="shared" si="142"/>
        <v>0</v>
      </c>
      <c r="W166" s="89">
        <f t="shared" si="142"/>
        <v>0</v>
      </c>
      <c r="X166" s="89">
        <f t="shared" si="142"/>
        <v>0</v>
      </c>
      <c r="Y166" s="89">
        <f t="shared" si="142"/>
        <v>0</v>
      </c>
      <c r="Z166" s="89">
        <f t="shared" si="142"/>
        <v>0</v>
      </c>
      <c r="AA166" s="89">
        <f t="shared" si="142"/>
        <v>0</v>
      </c>
      <c r="AB166" s="89">
        <f t="shared" si="142"/>
        <v>0</v>
      </c>
      <c r="AC166" s="89">
        <f t="shared" si="142"/>
        <v>0</v>
      </c>
      <c r="AD166" s="89">
        <f t="shared" si="142"/>
        <v>0</v>
      </c>
      <c r="AE166" s="90">
        <f>SUM(S166:AD166)</f>
        <v>0</v>
      </c>
    </row>
    <row r="167" spans="1:52" hidden="1">
      <c r="A167" s="1" t="str">
        <f>A166</f>
        <v>Uncheck to Hide</v>
      </c>
      <c r="B167" s="92"/>
      <c r="C167" s="93"/>
      <c r="D167" s="93"/>
      <c r="E167" s="93"/>
      <c r="F167" s="93"/>
      <c r="G167" s="93"/>
      <c r="H167" s="93"/>
      <c r="I167" s="93"/>
      <c r="J167" s="93"/>
      <c r="K167" s="93"/>
      <c r="L167" s="93"/>
      <c r="M167" s="93"/>
      <c r="N167" s="93"/>
      <c r="O167" s="93"/>
      <c r="P167" s="93"/>
      <c r="Q167" s="93"/>
      <c r="R167" s="93"/>
      <c r="S167" s="94"/>
      <c r="T167" s="94"/>
      <c r="U167" s="94"/>
      <c r="V167" s="94"/>
      <c r="W167" s="94"/>
      <c r="X167" s="94"/>
      <c r="Y167" s="94"/>
      <c r="Z167" s="94"/>
      <c r="AA167" s="94"/>
      <c r="AB167" s="94"/>
      <c r="AC167" s="94"/>
      <c r="AD167" s="94"/>
      <c r="AE167" s="93"/>
      <c r="AG167" s="95">
        <f>IF(AE166=0,0,1)</f>
        <v>0</v>
      </c>
      <c r="AH167" s="6" t="str">
        <f>IF(AG167=0,".",IF(AG150&gt;1,", 1 at "," at ")&amp;"$"&amp;ROUND(M166,2)&amp;"/hour, working "&amp;N166&amp;" hours per week with"&amp;IF(E166&gt;0," housing.","out housing."))</f>
        <v>.</v>
      </c>
    </row>
    <row r="168" spans="1:52" s="58" customFormat="1" hidden="1">
      <c r="A168" s="96" t="s">
        <v>113</v>
      </c>
      <c r="B168" s="129"/>
      <c r="C168" s="130"/>
      <c r="D168" s="131"/>
      <c r="E168" s="131"/>
      <c r="F168" s="131"/>
      <c r="G168" s="132"/>
      <c r="H168" s="132"/>
      <c r="I168" s="132"/>
      <c r="J168" s="132"/>
      <c r="K168" s="132"/>
      <c r="L168" s="132"/>
      <c r="M168" s="133"/>
      <c r="N168" s="134"/>
      <c r="O168" s="134"/>
      <c r="P168" s="103">
        <f>+M166*N166*R166/AE$7</f>
        <v>0</v>
      </c>
      <c r="Q168" s="135"/>
      <c r="S168" s="106">
        <f t="shared" ref="S168:AD168" si="143">IF(S167&gt;0,S167-$P168*S$7,+S166-$P168*S$7)</f>
        <v>0</v>
      </c>
      <c r="T168" s="106">
        <f t="shared" si="143"/>
        <v>0</v>
      </c>
      <c r="U168" s="106">
        <f t="shared" si="143"/>
        <v>0</v>
      </c>
      <c r="V168" s="106">
        <f t="shared" si="143"/>
        <v>0</v>
      </c>
      <c r="W168" s="106">
        <f t="shared" si="143"/>
        <v>0</v>
      </c>
      <c r="X168" s="106">
        <f t="shared" si="143"/>
        <v>0</v>
      </c>
      <c r="Y168" s="106">
        <f t="shared" si="143"/>
        <v>0</v>
      </c>
      <c r="Z168" s="106">
        <f t="shared" si="143"/>
        <v>0</v>
      </c>
      <c r="AA168" s="106">
        <f t="shared" si="143"/>
        <v>0</v>
      </c>
      <c r="AB168" s="106">
        <f t="shared" si="143"/>
        <v>0</v>
      </c>
      <c r="AC168" s="106">
        <f t="shared" si="143"/>
        <v>0</v>
      </c>
      <c r="AD168" s="106">
        <f t="shared" si="143"/>
        <v>0</v>
      </c>
      <c r="AE168" s="136"/>
      <c r="AP168" s="108"/>
      <c r="AQ168" s="108"/>
      <c r="AR168" s="108"/>
      <c r="AS168" s="108"/>
    </row>
    <row r="169" spans="1:52" s="58" customFormat="1" hidden="1">
      <c r="A169" s="96" t="s">
        <v>113</v>
      </c>
      <c r="B169" s="129"/>
      <c r="C169" s="130"/>
      <c r="D169" s="131"/>
      <c r="E169" s="131"/>
      <c r="F169" s="131"/>
      <c r="G169" s="132"/>
      <c r="H169" s="132"/>
      <c r="I169" s="132"/>
      <c r="J169" s="132"/>
      <c r="K169" s="132"/>
      <c r="L169" s="132"/>
      <c r="M169" s="133"/>
      <c r="N169" s="134"/>
      <c r="O169" s="134"/>
      <c r="P169" s="131"/>
      <c r="Q169" s="135"/>
      <c r="R169" s="135"/>
      <c r="S169" s="137">
        <f>+S168</f>
        <v>0</v>
      </c>
      <c r="T169" s="137">
        <f t="shared" ref="T169:AD169" si="144">+T168+S169</f>
        <v>0</v>
      </c>
      <c r="U169" s="137">
        <f t="shared" si="144"/>
        <v>0</v>
      </c>
      <c r="V169" s="137">
        <f t="shared" si="144"/>
        <v>0</v>
      </c>
      <c r="W169" s="137">
        <f t="shared" si="144"/>
        <v>0</v>
      </c>
      <c r="X169" s="137">
        <f t="shared" si="144"/>
        <v>0</v>
      </c>
      <c r="Y169" s="137">
        <f t="shared" si="144"/>
        <v>0</v>
      </c>
      <c r="Z169" s="137">
        <f t="shared" si="144"/>
        <v>0</v>
      </c>
      <c r="AA169" s="137">
        <f t="shared" si="144"/>
        <v>0</v>
      </c>
      <c r="AB169" s="137">
        <f t="shared" si="144"/>
        <v>0</v>
      </c>
      <c r="AC169" s="137">
        <f t="shared" si="144"/>
        <v>0</v>
      </c>
      <c r="AD169" s="137">
        <f t="shared" si="144"/>
        <v>0</v>
      </c>
      <c r="AE169" s="136"/>
      <c r="AP169" s="108"/>
      <c r="AQ169" s="108"/>
      <c r="AR169" s="108"/>
      <c r="AS169" s="108"/>
    </row>
    <row r="170" spans="1:52" hidden="1">
      <c r="A170" s="1" t="str">
        <f>A167</f>
        <v>Uncheck to Hide</v>
      </c>
      <c r="B170" s="128"/>
      <c r="C170" s="112" t="s">
        <v>38</v>
      </c>
      <c r="D170" s="119"/>
      <c r="E170" s="120"/>
      <c r="F170" s="120"/>
      <c r="G170" s="120"/>
      <c r="H170" s="120"/>
      <c r="I170" s="120"/>
      <c r="J170" s="120"/>
      <c r="K170" s="120"/>
      <c r="L170" s="120"/>
      <c r="M170" s="120"/>
      <c r="N170" s="120"/>
      <c r="O170" s="120"/>
      <c r="P170" s="120"/>
      <c r="Q170" s="120"/>
      <c r="R170" s="120"/>
      <c r="S170" s="114">
        <f t="shared" ref="S170:AD170" si="145">IF($E$9="CA",IF(R169&lt;7000,$E$5*S168,($E$5-0.043)*S168),IF($E$9="IL",IF(R169&lt;12960,$E$5*S168,($E$5-0.04125)*S168),IF($E$9="PA",IF(R169&lt;10000,$E$5*S168,($E$5-0.071)*S168),IF($E$9="TX",IF(R169&lt;9000,$E$5*S168,($E$5-0.0363)*S168),$E$5*S168))))</f>
        <v>0</v>
      </c>
      <c r="T170" s="114">
        <f t="shared" si="145"/>
        <v>0</v>
      </c>
      <c r="U170" s="114">
        <f t="shared" si="145"/>
        <v>0</v>
      </c>
      <c r="V170" s="114">
        <f t="shared" si="145"/>
        <v>0</v>
      </c>
      <c r="W170" s="114">
        <f t="shared" si="145"/>
        <v>0</v>
      </c>
      <c r="X170" s="114">
        <f t="shared" si="145"/>
        <v>0</v>
      </c>
      <c r="Y170" s="114">
        <f t="shared" si="145"/>
        <v>0</v>
      </c>
      <c r="Z170" s="114">
        <f t="shared" si="145"/>
        <v>0</v>
      </c>
      <c r="AA170" s="114">
        <f t="shared" si="145"/>
        <v>0</v>
      </c>
      <c r="AB170" s="114">
        <f t="shared" si="145"/>
        <v>0</v>
      </c>
      <c r="AC170" s="114">
        <f t="shared" si="145"/>
        <v>0</v>
      </c>
      <c r="AD170" s="114">
        <f t="shared" si="145"/>
        <v>0</v>
      </c>
      <c r="AE170" s="115"/>
    </row>
    <row r="171" spans="1:52" hidden="1">
      <c r="A171" s="1" t="str">
        <f>A170</f>
        <v>Uncheck to Hide</v>
      </c>
      <c r="B171" s="128"/>
      <c r="C171" s="112" t="s">
        <v>114</v>
      </c>
      <c r="D171" s="119"/>
      <c r="E171" s="120"/>
      <c r="F171" s="120"/>
      <c r="G171" s="120"/>
      <c r="H171" s="120"/>
      <c r="I171" s="120"/>
      <c r="J171" s="120"/>
      <c r="K171" s="120"/>
      <c r="L171" s="120"/>
      <c r="M171" s="120"/>
      <c r="N171" s="120"/>
      <c r="O171" s="120"/>
      <c r="P171" s="120"/>
      <c r="Q171" s="120"/>
      <c r="R171" s="120"/>
      <c r="S171" s="117">
        <f t="shared" ref="S171:AD171" si="146">IF($E$9="WA",IF(S$1&lt;$G$6,$E$6*$N166*2*S$7+$CA$5*S168,$F$6*$N166*2*S$7+$CA$5*S168),IF($E$9="NV",IF(R169&gt;36000,0,IF(S$1&lt;$G$6,$E$6*S168,$F$6*S168)),IF(S$1&lt;$G$6,$E$6*S168,$F$6*S168)))</f>
        <v>0</v>
      </c>
      <c r="T171" s="117">
        <f t="shared" si="146"/>
        <v>0</v>
      </c>
      <c r="U171" s="117">
        <f t="shared" si="146"/>
        <v>0</v>
      </c>
      <c r="V171" s="117">
        <f t="shared" si="146"/>
        <v>0</v>
      </c>
      <c r="W171" s="117">
        <f t="shared" si="146"/>
        <v>0</v>
      </c>
      <c r="X171" s="117">
        <f t="shared" si="146"/>
        <v>0</v>
      </c>
      <c r="Y171" s="117">
        <f t="shared" si="146"/>
        <v>0</v>
      </c>
      <c r="Z171" s="117">
        <f t="shared" si="146"/>
        <v>0</v>
      </c>
      <c r="AA171" s="117">
        <f t="shared" si="146"/>
        <v>0</v>
      </c>
      <c r="AB171" s="117">
        <f t="shared" si="146"/>
        <v>0</v>
      </c>
      <c r="AC171" s="117">
        <f t="shared" si="146"/>
        <v>0</v>
      </c>
      <c r="AD171" s="117">
        <f t="shared" si="146"/>
        <v>0</v>
      </c>
      <c r="AE171" s="115"/>
    </row>
    <row r="172" spans="1:52" ht="13" hidden="1">
      <c r="A172" s="1" t="str">
        <f>A171</f>
        <v>Uncheck to Hide</v>
      </c>
      <c r="B172" s="111"/>
      <c r="C172" s="118" t="s">
        <v>86</v>
      </c>
      <c r="D172" s="113"/>
      <c r="E172" s="113"/>
      <c r="F172" s="113"/>
      <c r="G172" s="113"/>
      <c r="H172" s="113"/>
      <c r="I172" s="113"/>
      <c r="J172" s="113"/>
      <c r="K172" s="113"/>
      <c r="L172" s="113"/>
      <c r="M172" s="113"/>
      <c r="N172" s="113"/>
      <c r="O172" s="113"/>
      <c r="P172" s="113"/>
      <c r="Q172" s="113"/>
      <c r="R172" s="113"/>
      <c r="S172" s="117">
        <f t="shared" ref="S172:AD172" si="147">IF(S166=0,0,$H$11/26*S$7*IF(OR($G166=0,$G166=1),1,$G166))</f>
        <v>0</v>
      </c>
      <c r="T172" s="117">
        <f t="shared" si="147"/>
        <v>0</v>
      </c>
      <c r="U172" s="117">
        <f t="shared" si="147"/>
        <v>0</v>
      </c>
      <c r="V172" s="117">
        <f t="shared" si="147"/>
        <v>0</v>
      </c>
      <c r="W172" s="117">
        <f t="shared" si="147"/>
        <v>0</v>
      </c>
      <c r="X172" s="117">
        <f t="shared" si="147"/>
        <v>0</v>
      </c>
      <c r="Y172" s="117">
        <f t="shared" si="147"/>
        <v>0</v>
      </c>
      <c r="Z172" s="117">
        <f t="shared" si="147"/>
        <v>0</v>
      </c>
      <c r="AA172" s="117">
        <f t="shared" si="147"/>
        <v>0</v>
      </c>
      <c r="AB172" s="117">
        <f t="shared" si="147"/>
        <v>0</v>
      </c>
      <c r="AC172" s="117">
        <f t="shared" si="147"/>
        <v>0</v>
      </c>
      <c r="AD172" s="117">
        <f t="shared" si="147"/>
        <v>0</v>
      </c>
      <c r="AE172" s="115"/>
      <c r="AZ172" s="20"/>
    </row>
    <row r="173" spans="1:52" hidden="1">
      <c r="A173" s="1" t="str">
        <f>A171</f>
        <v>Uncheck to Hide</v>
      </c>
      <c r="B173" s="128"/>
      <c r="C173" s="118" t="str">
        <f>IF($E$9="CA","",$C$269)</f>
        <v>HEALTH INS. &amp; EMPL. BENEFITS</v>
      </c>
      <c r="D173" s="119"/>
      <c r="E173" s="120"/>
      <c r="F173" s="120"/>
      <c r="G173" s="120"/>
      <c r="H173" s="120"/>
      <c r="I173" s="120"/>
      <c r="J173" s="120"/>
      <c r="K173" s="120"/>
      <c r="L173" s="120"/>
      <c r="M173" s="120"/>
      <c r="N173" s="120"/>
      <c r="O173" s="120"/>
      <c r="P173" s="120"/>
      <c r="Q173" s="120"/>
      <c r="R173" s="120"/>
      <c r="S173" s="121">
        <f t="shared" ref="S173:AD173" si="148">IF(OR($E$9="CA",$E$9="CO",$E$9="OR",$E$9="WA"),0,IF($G166=0,0,$G166*$E$7*S$8/2+S168*$CC$6))</f>
        <v>0</v>
      </c>
      <c r="T173" s="121">
        <f t="shared" si="148"/>
        <v>0</v>
      </c>
      <c r="U173" s="121">
        <f t="shared" si="148"/>
        <v>0</v>
      </c>
      <c r="V173" s="121">
        <f t="shared" si="148"/>
        <v>0</v>
      </c>
      <c r="W173" s="121">
        <f t="shared" si="148"/>
        <v>0</v>
      </c>
      <c r="X173" s="121">
        <f t="shared" si="148"/>
        <v>0</v>
      </c>
      <c r="Y173" s="121">
        <f t="shared" si="148"/>
        <v>0</v>
      </c>
      <c r="Z173" s="121">
        <f t="shared" si="148"/>
        <v>0</v>
      </c>
      <c r="AA173" s="121">
        <f t="shared" si="148"/>
        <v>0</v>
      </c>
      <c r="AB173" s="121">
        <f t="shared" si="148"/>
        <v>0</v>
      </c>
      <c r="AC173" s="121">
        <f t="shared" si="148"/>
        <v>0</v>
      </c>
      <c r="AD173" s="121">
        <f t="shared" si="148"/>
        <v>0</v>
      </c>
      <c r="AE173" s="115"/>
    </row>
    <row r="174" spans="1:52" hidden="1">
      <c r="A174" s="1" t="str">
        <f>IF(F174+G174+H174+M174=0,"Uncheck to Hide","")</f>
        <v>Uncheck to Hide</v>
      </c>
      <c r="B174" s="74" t="s">
        <v>145</v>
      </c>
      <c r="C174" s="75" t="s">
        <v>146</v>
      </c>
      <c r="D174" s="76"/>
      <c r="E174" s="77"/>
      <c r="F174" s="78"/>
      <c r="G174" s="125"/>
      <c r="H174" s="80"/>
      <c r="I174" s="80">
        <v>15</v>
      </c>
      <c r="J174" s="81"/>
      <c r="K174" s="82"/>
      <c r="L174" s="83"/>
      <c r="M174" s="84">
        <f>ROUND(K174*(1+L174),2)</f>
        <v>0</v>
      </c>
      <c r="N174" s="85"/>
      <c r="O174" s="85"/>
      <c r="P174" s="86">
        <f>IF(SUM(S175:AD175)&gt;0,1,0)</f>
        <v>0</v>
      </c>
      <c r="Q174" s="87">
        <f>M174*N174*52</f>
        <v>0</v>
      </c>
      <c r="R174" s="88"/>
      <c r="S174" s="89">
        <f t="shared" ref="S174:AD174" si="149">IF(S175="",$M174*$N174*2*S$7+$P176*S$7+$O174*$M174*1.5*2*S$7+IF($O$10="Y",(SUMIF($CS$3:$DT$3,S$1,$CS$8:$DT$8)-SUMIF($CS$3:$DT$3,R$1,$CS$8:$DT$8))*($M174*$N174*2*S$7+$P176*S$7+$O174*$M174*1.5*2*S$7)/(S$7*14),0)+IF($O$11="Y",(SUMIF($CS$3:$DT$3,S$1,$CS$8:$DT$8)*CU$11-SUMIF($CS$3:$DT$3,R$1,$CS$8:$DT$8)*CT$11)*($M174*$N174*2*S$7+$P176*S$7+$O174*$M174*1.5*2*S$7)/(S$7*14),0),S175)</f>
        <v>0</v>
      </c>
      <c r="T174" s="89">
        <f t="shared" si="149"/>
        <v>0</v>
      </c>
      <c r="U174" s="89">
        <f t="shared" si="149"/>
        <v>0</v>
      </c>
      <c r="V174" s="89">
        <f t="shared" si="149"/>
        <v>0</v>
      </c>
      <c r="W174" s="89">
        <f t="shared" si="149"/>
        <v>0</v>
      </c>
      <c r="X174" s="89">
        <f t="shared" si="149"/>
        <v>0</v>
      </c>
      <c r="Y174" s="89">
        <f t="shared" si="149"/>
        <v>0</v>
      </c>
      <c r="Z174" s="89">
        <f t="shared" si="149"/>
        <v>0</v>
      </c>
      <c r="AA174" s="89">
        <f t="shared" si="149"/>
        <v>0</v>
      </c>
      <c r="AB174" s="89">
        <f t="shared" si="149"/>
        <v>0</v>
      </c>
      <c r="AC174" s="89">
        <f t="shared" si="149"/>
        <v>0</v>
      </c>
      <c r="AD174" s="89">
        <f t="shared" si="149"/>
        <v>0</v>
      </c>
      <c r="AE174" s="90">
        <f>SUM(S174:AD174)</f>
        <v>0</v>
      </c>
      <c r="AG174" s="6">
        <f>SUBTOTAL(9,AG175:AG199)</f>
        <v>0</v>
      </c>
      <c r="AH174" s="6" t="str">
        <f>Payroll!AG174&amp;" grounds person"&amp;IF(Payroll!AG174&gt;1,"s","")&amp;Payroll!AH175&amp;Payroll!AH183&amp;Payroll!AH191&amp;Payroll!AH199</f>
        <v>0 grounds person</v>
      </c>
    </row>
    <row r="175" spans="1:52" hidden="1">
      <c r="A175" s="1" t="str">
        <f>A174</f>
        <v>Uncheck to Hide</v>
      </c>
      <c r="B175" s="92"/>
      <c r="C175" s="93"/>
      <c r="D175" s="93"/>
      <c r="E175" s="93"/>
      <c r="F175" s="93"/>
      <c r="G175" s="93"/>
      <c r="H175" s="93"/>
      <c r="I175" s="93"/>
      <c r="J175" s="93"/>
      <c r="K175" s="93"/>
      <c r="L175" s="93"/>
      <c r="M175" s="93"/>
      <c r="N175" s="93"/>
      <c r="O175" s="93"/>
      <c r="P175" s="93"/>
      <c r="Q175" s="93"/>
      <c r="R175" s="93"/>
      <c r="S175" s="94"/>
      <c r="T175" s="94"/>
      <c r="U175" s="94"/>
      <c r="V175" s="94"/>
      <c r="W175" s="94"/>
      <c r="X175" s="94"/>
      <c r="Y175" s="94"/>
      <c r="Z175" s="94"/>
      <c r="AA175" s="94"/>
      <c r="AB175" s="94"/>
      <c r="AC175" s="94"/>
      <c r="AD175" s="94"/>
      <c r="AE175" s="93"/>
      <c r="AG175" s="95">
        <f>IF(AE174=0,0,1)</f>
        <v>0</v>
      </c>
      <c r="AH175" s="6" t="str">
        <f>IF(AG175=0,"",IF(AG174&gt;1,", 1 at "," at ")&amp;"$"&amp;ROUND(M174,2)&amp;"/hour, working "&amp;N174&amp;" hours per week with"&amp;IF(E174&gt;0," housing","out housing"))</f>
        <v/>
      </c>
    </row>
    <row r="176" spans="1:52" s="58" customFormat="1" ht="12.75" hidden="1" customHeight="1">
      <c r="A176" s="96" t="s">
        <v>113</v>
      </c>
      <c r="B176" s="129"/>
      <c r="C176" s="130"/>
      <c r="D176" s="131"/>
      <c r="E176" s="131"/>
      <c r="F176" s="131"/>
      <c r="G176" s="132"/>
      <c r="H176" s="132"/>
      <c r="I176" s="132"/>
      <c r="J176" s="132"/>
      <c r="K176" s="132"/>
      <c r="L176" s="132"/>
      <c r="M176" s="133"/>
      <c r="N176" s="134"/>
      <c r="O176" s="134"/>
      <c r="P176" s="103">
        <f>+M174*N174*R174/AE$7</f>
        <v>0</v>
      </c>
      <c r="Q176" s="135"/>
      <c r="S176" s="106">
        <f t="shared" ref="S176:AD176" si="150">IF(S175&gt;0,S175-$P176*S$7,+S174-$P176*S$7)</f>
        <v>0</v>
      </c>
      <c r="T176" s="106">
        <f t="shared" si="150"/>
        <v>0</v>
      </c>
      <c r="U176" s="106">
        <f t="shared" si="150"/>
        <v>0</v>
      </c>
      <c r="V176" s="106">
        <f t="shared" si="150"/>
        <v>0</v>
      </c>
      <c r="W176" s="106">
        <f t="shared" si="150"/>
        <v>0</v>
      </c>
      <c r="X176" s="106">
        <f t="shared" si="150"/>
        <v>0</v>
      </c>
      <c r="Y176" s="106">
        <f t="shared" si="150"/>
        <v>0</v>
      </c>
      <c r="Z176" s="106">
        <f t="shared" si="150"/>
        <v>0</v>
      </c>
      <c r="AA176" s="106">
        <f t="shared" si="150"/>
        <v>0</v>
      </c>
      <c r="AB176" s="106">
        <f t="shared" si="150"/>
        <v>0</v>
      </c>
      <c r="AC176" s="106">
        <f t="shared" si="150"/>
        <v>0</v>
      </c>
      <c r="AD176" s="106">
        <f t="shared" si="150"/>
        <v>0</v>
      </c>
      <c r="AE176" s="136"/>
      <c r="AP176" s="108"/>
      <c r="AQ176" s="108"/>
      <c r="AR176" s="108"/>
      <c r="AS176" s="108"/>
    </row>
    <row r="177" spans="1:52" s="58" customFormat="1" ht="12.75" hidden="1" customHeight="1">
      <c r="A177" s="96" t="s">
        <v>113</v>
      </c>
      <c r="B177" s="129"/>
      <c r="C177" s="130"/>
      <c r="D177" s="131"/>
      <c r="E177" s="131"/>
      <c r="F177" s="131"/>
      <c r="G177" s="132"/>
      <c r="H177" s="132"/>
      <c r="I177" s="132"/>
      <c r="J177" s="132"/>
      <c r="K177" s="132"/>
      <c r="L177" s="132"/>
      <c r="M177" s="133"/>
      <c r="N177" s="134"/>
      <c r="O177" s="134"/>
      <c r="P177" s="131"/>
      <c r="Q177" s="135"/>
      <c r="R177" s="135"/>
      <c r="S177" s="137">
        <f>+S176</f>
        <v>0</v>
      </c>
      <c r="T177" s="137">
        <f t="shared" ref="T177:AD177" si="151">+T176+S177</f>
        <v>0</v>
      </c>
      <c r="U177" s="137">
        <f t="shared" si="151"/>
        <v>0</v>
      </c>
      <c r="V177" s="137">
        <f t="shared" si="151"/>
        <v>0</v>
      </c>
      <c r="W177" s="137">
        <f t="shared" si="151"/>
        <v>0</v>
      </c>
      <c r="X177" s="137">
        <f t="shared" si="151"/>
        <v>0</v>
      </c>
      <c r="Y177" s="137">
        <f t="shared" si="151"/>
        <v>0</v>
      </c>
      <c r="Z177" s="137">
        <f t="shared" si="151"/>
        <v>0</v>
      </c>
      <c r="AA177" s="137">
        <f t="shared" si="151"/>
        <v>0</v>
      </c>
      <c r="AB177" s="137">
        <f t="shared" si="151"/>
        <v>0</v>
      </c>
      <c r="AC177" s="137">
        <f t="shared" si="151"/>
        <v>0</v>
      </c>
      <c r="AD177" s="137">
        <f t="shared" si="151"/>
        <v>0</v>
      </c>
      <c r="AE177" s="136"/>
      <c r="AP177" s="108"/>
      <c r="AQ177" s="108"/>
      <c r="AR177" s="108"/>
      <c r="AS177" s="108"/>
    </row>
    <row r="178" spans="1:52" hidden="1">
      <c r="A178" s="1" t="str">
        <f>A175</f>
        <v>Uncheck to Hide</v>
      </c>
      <c r="B178" s="128"/>
      <c r="C178" s="112" t="s">
        <v>38</v>
      </c>
      <c r="D178" s="119"/>
      <c r="E178" s="120"/>
      <c r="F178" s="120"/>
      <c r="G178" s="120"/>
      <c r="H178" s="120"/>
      <c r="I178" s="120"/>
      <c r="J178" s="120"/>
      <c r="K178" s="120"/>
      <c r="L178" s="120"/>
      <c r="M178" s="120"/>
      <c r="N178" s="120"/>
      <c r="O178" s="120"/>
      <c r="P178" s="120"/>
      <c r="Q178" s="120"/>
      <c r="R178" s="120"/>
      <c r="S178" s="114">
        <f t="shared" ref="S178:AD178" si="152">IF($E$9="CA",IF(R177&lt;7000,$E$5*S176,($E$5-0.043)*S176),IF($E$9="IL",IF(R177&lt;12960,$E$5*S176,($E$5-0.04125)*S176),IF($E$9="PA",IF(R177&lt;10000,$E$5*S176,($E$5-0.071)*S176),IF($E$9="TX",IF(R177&lt;9000,$E$5*S176,($E$5-0.0363)*S176),$E$5*S176))))</f>
        <v>0</v>
      </c>
      <c r="T178" s="114">
        <f t="shared" si="152"/>
        <v>0</v>
      </c>
      <c r="U178" s="114">
        <f t="shared" si="152"/>
        <v>0</v>
      </c>
      <c r="V178" s="114">
        <f t="shared" si="152"/>
        <v>0</v>
      </c>
      <c r="W178" s="114">
        <f t="shared" si="152"/>
        <v>0</v>
      </c>
      <c r="X178" s="114">
        <f t="shared" si="152"/>
        <v>0</v>
      </c>
      <c r="Y178" s="114">
        <f t="shared" si="152"/>
        <v>0</v>
      </c>
      <c r="Z178" s="114">
        <f t="shared" si="152"/>
        <v>0</v>
      </c>
      <c r="AA178" s="114">
        <f t="shared" si="152"/>
        <v>0</v>
      </c>
      <c r="AB178" s="114">
        <f t="shared" si="152"/>
        <v>0</v>
      </c>
      <c r="AC178" s="114">
        <f t="shared" si="152"/>
        <v>0</v>
      </c>
      <c r="AD178" s="114">
        <f t="shared" si="152"/>
        <v>0</v>
      </c>
      <c r="AE178" s="115"/>
    </row>
    <row r="179" spans="1:52" hidden="1">
      <c r="A179" s="1" t="str">
        <f>A178</f>
        <v>Uncheck to Hide</v>
      </c>
      <c r="B179" s="128"/>
      <c r="C179" s="112" t="s">
        <v>114</v>
      </c>
      <c r="D179" s="119"/>
      <c r="E179" s="120"/>
      <c r="F179" s="120"/>
      <c r="G179" s="120"/>
      <c r="H179" s="120"/>
      <c r="I179" s="120"/>
      <c r="J179" s="120"/>
      <c r="K179" s="120"/>
      <c r="L179" s="120"/>
      <c r="M179" s="120"/>
      <c r="N179" s="120"/>
      <c r="O179" s="120"/>
      <c r="P179" s="120"/>
      <c r="Q179" s="120"/>
      <c r="R179" s="120"/>
      <c r="S179" s="117">
        <f t="shared" ref="S179:AD179" si="153">IF($E$9="WA",IF(S$1&lt;$G$6,$E$6*$N174*2*S$7+$CA$5*S176,$F$6*$N174*2*S$7+$CA$5*S176),IF($E$9="NV",IF(R177&gt;36000,0,IF(S$1&lt;$G$6,$E$6*S176,$F$6*S176)),IF(S$1&lt;$G$6,$E$6*S176,$F$6*S176)))</f>
        <v>0</v>
      </c>
      <c r="T179" s="117">
        <f t="shared" si="153"/>
        <v>0</v>
      </c>
      <c r="U179" s="117">
        <f t="shared" si="153"/>
        <v>0</v>
      </c>
      <c r="V179" s="117">
        <f t="shared" si="153"/>
        <v>0</v>
      </c>
      <c r="W179" s="117">
        <f t="shared" si="153"/>
        <v>0</v>
      </c>
      <c r="X179" s="117">
        <f t="shared" si="153"/>
        <v>0</v>
      </c>
      <c r="Y179" s="117">
        <f t="shared" si="153"/>
        <v>0</v>
      </c>
      <c r="Z179" s="117">
        <f t="shared" si="153"/>
        <v>0</v>
      </c>
      <c r="AA179" s="117">
        <f t="shared" si="153"/>
        <v>0</v>
      </c>
      <c r="AB179" s="117">
        <f t="shared" si="153"/>
        <v>0</v>
      </c>
      <c r="AC179" s="117">
        <f t="shared" si="153"/>
        <v>0</v>
      </c>
      <c r="AD179" s="117">
        <f t="shared" si="153"/>
        <v>0</v>
      </c>
      <c r="AE179" s="115"/>
    </row>
    <row r="180" spans="1:52" ht="13" hidden="1">
      <c r="A180" s="1" t="str">
        <f>A179</f>
        <v>Uncheck to Hide</v>
      </c>
      <c r="B180" s="111"/>
      <c r="C180" s="118" t="s">
        <v>86</v>
      </c>
      <c r="D180" s="113"/>
      <c r="E180" s="113"/>
      <c r="F180" s="113"/>
      <c r="G180" s="113"/>
      <c r="H180" s="113"/>
      <c r="I180" s="113"/>
      <c r="J180" s="113"/>
      <c r="K180" s="113"/>
      <c r="L180" s="113"/>
      <c r="M180" s="113"/>
      <c r="N180" s="113"/>
      <c r="O180" s="113"/>
      <c r="P180" s="113"/>
      <c r="Q180" s="113"/>
      <c r="R180" s="113"/>
      <c r="S180" s="117">
        <f t="shared" ref="S180:AD180" si="154">IF(S174=0,0,$H$11/26*S$7*IF(OR($G174=0,$G174=1),1,$G174))</f>
        <v>0</v>
      </c>
      <c r="T180" s="117">
        <f t="shared" si="154"/>
        <v>0</v>
      </c>
      <c r="U180" s="117">
        <f t="shared" si="154"/>
        <v>0</v>
      </c>
      <c r="V180" s="117">
        <f t="shared" si="154"/>
        <v>0</v>
      </c>
      <c r="W180" s="117">
        <f t="shared" si="154"/>
        <v>0</v>
      </c>
      <c r="X180" s="117">
        <f t="shared" si="154"/>
        <v>0</v>
      </c>
      <c r="Y180" s="117">
        <f t="shared" si="154"/>
        <v>0</v>
      </c>
      <c r="Z180" s="117">
        <f t="shared" si="154"/>
        <v>0</v>
      </c>
      <c r="AA180" s="117">
        <f t="shared" si="154"/>
        <v>0</v>
      </c>
      <c r="AB180" s="117">
        <f t="shared" si="154"/>
        <v>0</v>
      </c>
      <c r="AC180" s="117">
        <f t="shared" si="154"/>
        <v>0</v>
      </c>
      <c r="AD180" s="117">
        <f t="shared" si="154"/>
        <v>0</v>
      </c>
      <c r="AE180" s="115"/>
      <c r="AZ180" s="20"/>
    </row>
    <row r="181" spans="1:52" hidden="1">
      <c r="A181" s="1" t="str">
        <f>A179</f>
        <v>Uncheck to Hide</v>
      </c>
      <c r="B181" s="128"/>
      <c r="C181" s="118" t="str">
        <f>IF($E$9="CA","",$C$269)</f>
        <v>HEALTH INS. &amp; EMPL. BENEFITS</v>
      </c>
      <c r="D181" s="119"/>
      <c r="E181" s="120"/>
      <c r="F181" s="120"/>
      <c r="G181" s="120"/>
      <c r="H181" s="120"/>
      <c r="I181" s="120"/>
      <c r="J181" s="120"/>
      <c r="K181" s="120"/>
      <c r="L181" s="120"/>
      <c r="M181" s="120"/>
      <c r="N181" s="120"/>
      <c r="O181" s="120"/>
      <c r="P181" s="120"/>
      <c r="Q181" s="120"/>
      <c r="R181" s="120"/>
      <c r="S181" s="121">
        <f t="shared" ref="S181:AD181" si="155">IF(OR($E$9="CA",$E$9="CO",$E$9="OR",$E$9="WA"),0,IF($G174=0,0,$G174*$E$7*S$8/2+S176*$CC$6))</f>
        <v>0</v>
      </c>
      <c r="T181" s="121">
        <f t="shared" si="155"/>
        <v>0</v>
      </c>
      <c r="U181" s="121">
        <f t="shared" si="155"/>
        <v>0</v>
      </c>
      <c r="V181" s="121">
        <f t="shared" si="155"/>
        <v>0</v>
      </c>
      <c r="W181" s="121">
        <f t="shared" si="155"/>
        <v>0</v>
      </c>
      <c r="X181" s="121">
        <f t="shared" si="155"/>
        <v>0</v>
      </c>
      <c r="Y181" s="121">
        <f t="shared" si="155"/>
        <v>0</v>
      </c>
      <c r="Z181" s="121">
        <f t="shared" si="155"/>
        <v>0</v>
      </c>
      <c r="AA181" s="121">
        <f t="shared" si="155"/>
        <v>0</v>
      </c>
      <c r="AB181" s="121">
        <f t="shared" si="155"/>
        <v>0</v>
      </c>
      <c r="AC181" s="121">
        <f t="shared" si="155"/>
        <v>0</v>
      </c>
      <c r="AD181" s="121">
        <f t="shared" si="155"/>
        <v>0</v>
      </c>
      <c r="AE181" s="115"/>
    </row>
    <row r="182" spans="1:52" hidden="1">
      <c r="A182" s="1" t="str">
        <f>IF(F182+G182+H182+M182=0,"Uncheck to Hide","")</f>
        <v>Uncheck to Hide</v>
      </c>
      <c r="B182" s="74" t="str">
        <f>B174</f>
        <v>6535-000  GROUNDS PAYROLL</v>
      </c>
      <c r="C182" s="75" t="s">
        <v>147</v>
      </c>
      <c r="D182" s="76"/>
      <c r="E182" s="77"/>
      <c r="F182" s="78"/>
      <c r="G182" s="125"/>
      <c r="H182" s="80"/>
      <c r="I182" s="80">
        <v>15</v>
      </c>
      <c r="J182" s="81"/>
      <c r="K182" s="82"/>
      <c r="L182" s="83"/>
      <c r="M182" s="84">
        <f>ROUND(K182*(1+L182),2)</f>
        <v>0</v>
      </c>
      <c r="N182" s="85"/>
      <c r="O182" s="85"/>
      <c r="P182" s="86">
        <f>IF(SUM(S183:AD183)&gt;0,1,0)</f>
        <v>0</v>
      </c>
      <c r="Q182" s="87">
        <f>M182*N182*52</f>
        <v>0</v>
      </c>
      <c r="R182" s="88"/>
      <c r="S182" s="89">
        <f t="shared" ref="S182:AD182" si="156">IF(S183="",$M182*$N182*2*S$7+$P184*S$7+$O182*$M182*1.5*2*S$7+IF($O$10="Y",(SUMIF($CS$3:$DT$3,S$1,$CS$8:$DT$8)-SUMIF($CS$3:$DT$3,R$1,$CS$8:$DT$8))*($M182*$N182*2*S$7+$P184*S$7+$O182*$M182*1.5*2*S$7)/(S$7*14),0)+IF($O$11="Y",(SUMIF($CS$3:$DT$3,S$1,$CS$8:$DT$8)*CU$11-SUMIF($CS$3:$DT$3,R$1,$CS$8:$DT$8)*CT$11)*($M182*$N182*2*S$7+$P184*S$7+$O182*$M182*1.5*2*S$7)/(S$7*14),0),S183)</f>
        <v>0</v>
      </c>
      <c r="T182" s="89">
        <f t="shared" si="156"/>
        <v>0</v>
      </c>
      <c r="U182" s="89">
        <f t="shared" si="156"/>
        <v>0</v>
      </c>
      <c r="V182" s="89">
        <f t="shared" si="156"/>
        <v>0</v>
      </c>
      <c r="W182" s="89">
        <f t="shared" si="156"/>
        <v>0</v>
      </c>
      <c r="X182" s="89">
        <f t="shared" si="156"/>
        <v>0</v>
      </c>
      <c r="Y182" s="89">
        <f t="shared" si="156"/>
        <v>0</v>
      </c>
      <c r="Z182" s="89">
        <f t="shared" si="156"/>
        <v>0</v>
      </c>
      <c r="AA182" s="89">
        <f t="shared" si="156"/>
        <v>0</v>
      </c>
      <c r="AB182" s="89">
        <f t="shared" si="156"/>
        <v>0</v>
      </c>
      <c r="AC182" s="89">
        <f t="shared" si="156"/>
        <v>0</v>
      </c>
      <c r="AD182" s="89">
        <f t="shared" si="156"/>
        <v>0</v>
      </c>
      <c r="AE182" s="90">
        <f>SUM(S182:AD182)</f>
        <v>0</v>
      </c>
    </row>
    <row r="183" spans="1:52" hidden="1">
      <c r="A183" s="1" t="str">
        <f>A182</f>
        <v>Uncheck to Hide</v>
      </c>
      <c r="B183" s="92"/>
      <c r="C183" s="93"/>
      <c r="D183" s="93"/>
      <c r="E183" s="93"/>
      <c r="F183" s="93"/>
      <c r="G183" s="93"/>
      <c r="H183" s="93"/>
      <c r="I183" s="93"/>
      <c r="J183" s="93"/>
      <c r="K183" s="93"/>
      <c r="L183" s="93"/>
      <c r="M183" s="93"/>
      <c r="N183" s="93"/>
      <c r="O183" s="93"/>
      <c r="P183" s="93"/>
      <c r="Q183" s="93"/>
      <c r="R183" s="93"/>
      <c r="S183" s="94"/>
      <c r="T183" s="94"/>
      <c r="U183" s="94"/>
      <c r="V183" s="94"/>
      <c r="W183" s="94"/>
      <c r="X183" s="94"/>
      <c r="Y183" s="94"/>
      <c r="Z183" s="94"/>
      <c r="AA183" s="94"/>
      <c r="AB183" s="94"/>
      <c r="AC183" s="94"/>
      <c r="AD183" s="94"/>
      <c r="AE183" s="93"/>
      <c r="AG183" s="95">
        <f>IF(AE182=0,0,1)</f>
        <v>0</v>
      </c>
      <c r="AH183" s="6" t="str">
        <f>IF(AG183=0,"",IF(AG174&gt;1,", 1 at "," at ")&amp;"$"&amp;ROUND(M182,2)&amp;"/hour, working "&amp;N182&amp;" hours per week with"&amp;IF(E182&gt;0," housing","out housing"))</f>
        <v/>
      </c>
    </row>
    <row r="184" spans="1:52" s="58" customFormat="1" ht="12.75" hidden="1" customHeight="1">
      <c r="A184" s="96" t="s">
        <v>113</v>
      </c>
      <c r="B184" s="129"/>
      <c r="C184" s="130"/>
      <c r="D184" s="131"/>
      <c r="E184" s="131"/>
      <c r="F184" s="131"/>
      <c r="G184" s="132"/>
      <c r="H184" s="132"/>
      <c r="I184" s="132"/>
      <c r="J184" s="132"/>
      <c r="K184" s="132"/>
      <c r="L184" s="132"/>
      <c r="M184" s="133"/>
      <c r="N184" s="134"/>
      <c r="O184" s="134"/>
      <c r="P184" s="103">
        <f>+M182*N182*R182/AE$7</f>
        <v>0</v>
      </c>
      <c r="Q184" s="135"/>
      <c r="S184" s="106">
        <f t="shared" ref="S184:AD184" si="157">IF(S183&gt;0,S183-$P184*S$7,+S182-$P184*S$7)</f>
        <v>0</v>
      </c>
      <c r="T184" s="106">
        <f t="shared" si="157"/>
        <v>0</v>
      </c>
      <c r="U184" s="106">
        <f t="shared" si="157"/>
        <v>0</v>
      </c>
      <c r="V184" s="106">
        <f t="shared" si="157"/>
        <v>0</v>
      </c>
      <c r="W184" s="106">
        <f t="shared" si="157"/>
        <v>0</v>
      </c>
      <c r="X184" s="106">
        <f t="shared" si="157"/>
        <v>0</v>
      </c>
      <c r="Y184" s="106">
        <f t="shared" si="157"/>
        <v>0</v>
      </c>
      <c r="Z184" s="106">
        <f t="shared" si="157"/>
        <v>0</v>
      </c>
      <c r="AA184" s="106">
        <f t="shared" si="157"/>
        <v>0</v>
      </c>
      <c r="AB184" s="106">
        <f t="shared" si="157"/>
        <v>0</v>
      </c>
      <c r="AC184" s="106">
        <f t="shared" si="157"/>
        <v>0</v>
      </c>
      <c r="AD184" s="106">
        <f t="shared" si="157"/>
        <v>0</v>
      </c>
      <c r="AE184" s="136"/>
      <c r="AP184" s="108"/>
      <c r="AQ184" s="108"/>
      <c r="AR184" s="108"/>
      <c r="AS184" s="108"/>
    </row>
    <row r="185" spans="1:52" s="58" customFormat="1" ht="12.75" hidden="1" customHeight="1">
      <c r="A185" s="96" t="s">
        <v>113</v>
      </c>
      <c r="B185" s="129"/>
      <c r="C185" s="130"/>
      <c r="D185" s="131"/>
      <c r="E185" s="131"/>
      <c r="F185" s="131"/>
      <c r="G185" s="132"/>
      <c r="H185" s="132"/>
      <c r="I185" s="132"/>
      <c r="J185" s="132"/>
      <c r="K185" s="132"/>
      <c r="L185" s="132"/>
      <c r="M185" s="133"/>
      <c r="N185" s="134"/>
      <c r="O185" s="134"/>
      <c r="P185" s="131"/>
      <c r="Q185" s="135"/>
      <c r="R185" s="135"/>
      <c r="S185" s="137">
        <f>+S184</f>
        <v>0</v>
      </c>
      <c r="T185" s="137">
        <f t="shared" ref="T185:AD185" si="158">+T184+S185</f>
        <v>0</v>
      </c>
      <c r="U185" s="137">
        <f t="shared" si="158"/>
        <v>0</v>
      </c>
      <c r="V185" s="137">
        <f t="shared" si="158"/>
        <v>0</v>
      </c>
      <c r="W185" s="137">
        <f t="shared" si="158"/>
        <v>0</v>
      </c>
      <c r="X185" s="137">
        <f t="shared" si="158"/>
        <v>0</v>
      </c>
      <c r="Y185" s="137">
        <f t="shared" si="158"/>
        <v>0</v>
      </c>
      <c r="Z185" s="137">
        <f t="shared" si="158"/>
        <v>0</v>
      </c>
      <c r="AA185" s="137">
        <f t="shared" si="158"/>
        <v>0</v>
      </c>
      <c r="AB185" s="137">
        <f t="shared" si="158"/>
        <v>0</v>
      </c>
      <c r="AC185" s="137">
        <f t="shared" si="158"/>
        <v>0</v>
      </c>
      <c r="AD185" s="137">
        <f t="shared" si="158"/>
        <v>0</v>
      </c>
      <c r="AE185" s="136"/>
      <c r="AP185" s="108"/>
      <c r="AQ185" s="108"/>
      <c r="AR185" s="108"/>
      <c r="AS185" s="108"/>
    </row>
    <row r="186" spans="1:52" hidden="1">
      <c r="A186" s="1" t="str">
        <f>A183</f>
        <v>Uncheck to Hide</v>
      </c>
      <c r="B186" s="128"/>
      <c r="C186" s="112" t="s">
        <v>38</v>
      </c>
      <c r="D186" s="119"/>
      <c r="E186" s="120"/>
      <c r="F186" s="120"/>
      <c r="G186" s="120"/>
      <c r="H186" s="120"/>
      <c r="I186" s="120"/>
      <c r="J186" s="120"/>
      <c r="K186" s="120"/>
      <c r="L186" s="120"/>
      <c r="M186" s="120"/>
      <c r="N186" s="120"/>
      <c r="O186" s="120"/>
      <c r="P186" s="120"/>
      <c r="Q186" s="120"/>
      <c r="R186" s="120"/>
      <c r="S186" s="114">
        <f t="shared" ref="S186:AD186" si="159">IF($E$9="CA",IF(R185&lt;7000,$E$5*S184,($E$5-0.043)*S184),IF($E$9="IL",IF(R185&lt;12960,$E$5*S184,($E$5-0.04125)*S184),IF($E$9="PA",IF(R185&lt;10000,$E$5*S184,($E$5-0.071)*S184),IF($E$9="TX",IF(R185&lt;9000,$E$5*S184,($E$5-0.0363)*S184),$E$5*S184))))</f>
        <v>0</v>
      </c>
      <c r="T186" s="114">
        <f t="shared" si="159"/>
        <v>0</v>
      </c>
      <c r="U186" s="114">
        <f t="shared" si="159"/>
        <v>0</v>
      </c>
      <c r="V186" s="114">
        <f t="shared" si="159"/>
        <v>0</v>
      </c>
      <c r="W186" s="114">
        <f t="shared" si="159"/>
        <v>0</v>
      </c>
      <c r="X186" s="114">
        <f t="shared" si="159"/>
        <v>0</v>
      </c>
      <c r="Y186" s="114">
        <f t="shared" si="159"/>
        <v>0</v>
      </c>
      <c r="Z186" s="114">
        <f t="shared" si="159"/>
        <v>0</v>
      </c>
      <c r="AA186" s="114">
        <f t="shared" si="159"/>
        <v>0</v>
      </c>
      <c r="AB186" s="114">
        <f t="shared" si="159"/>
        <v>0</v>
      </c>
      <c r="AC186" s="114">
        <f t="shared" si="159"/>
        <v>0</v>
      </c>
      <c r="AD186" s="114">
        <f t="shared" si="159"/>
        <v>0</v>
      </c>
      <c r="AE186" s="115"/>
    </row>
    <row r="187" spans="1:52" hidden="1">
      <c r="A187" s="1" t="str">
        <f>A186</f>
        <v>Uncheck to Hide</v>
      </c>
      <c r="B187" s="128"/>
      <c r="C187" s="112" t="s">
        <v>114</v>
      </c>
      <c r="D187" s="119"/>
      <c r="E187" s="120"/>
      <c r="F187" s="120"/>
      <c r="G187" s="120"/>
      <c r="H187" s="120"/>
      <c r="I187" s="120"/>
      <c r="J187" s="120"/>
      <c r="K187" s="120"/>
      <c r="L187" s="120"/>
      <c r="M187" s="120"/>
      <c r="N187" s="120"/>
      <c r="O187" s="120"/>
      <c r="P187" s="120"/>
      <c r="Q187" s="120"/>
      <c r="R187" s="120"/>
      <c r="S187" s="117">
        <f t="shared" ref="S187:AD187" si="160">IF($E$9="WA",IF(S$1&lt;$G$6,$E$6*$N182*2*S$7+$CA$5*S184,$F$6*$N182*2*S$7+$CA$5*S184),IF($E$9="NV",IF(R185&gt;36000,0,IF(S$1&lt;$G$6,$E$6*S184,$F$6*S184)),IF(S$1&lt;$G$6,$E$6*S184,$F$6*S184)))</f>
        <v>0</v>
      </c>
      <c r="T187" s="117">
        <f t="shared" si="160"/>
        <v>0</v>
      </c>
      <c r="U187" s="117">
        <f t="shared" si="160"/>
        <v>0</v>
      </c>
      <c r="V187" s="117">
        <f t="shared" si="160"/>
        <v>0</v>
      </c>
      <c r="W187" s="117">
        <f t="shared" si="160"/>
        <v>0</v>
      </c>
      <c r="X187" s="117">
        <f t="shared" si="160"/>
        <v>0</v>
      </c>
      <c r="Y187" s="117">
        <f t="shared" si="160"/>
        <v>0</v>
      </c>
      <c r="Z187" s="117">
        <f t="shared" si="160"/>
        <v>0</v>
      </c>
      <c r="AA187" s="117">
        <f t="shared" si="160"/>
        <v>0</v>
      </c>
      <c r="AB187" s="117">
        <f t="shared" si="160"/>
        <v>0</v>
      </c>
      <c r="AC187" s="117">
        <f t="shared" si="160"/>
        <v>0</v>
      </c>
      <c r="AD187" s="117">
        <f t="shared" si="160"/>
        <v>0</v>
      </c>
      <c r="AE187" s="115"/>
    </row>
    <row r="188" spans="1:52" ht="13" hidden="1">
      <c r="A188" s="1" t="str">
        <f>A187</f>
        <v>Uncheck to Hide</v>
      </c>
      <c r="B188" s="111"/>
      <c r="C188" s="118" t="s">
        <v>86</v>
      </c>
      <c r="D188" s="113"/>
      <c r="E188" s="113"/>
      <c r="F188" s="113"/>
      <c r="G188" s="113"/>
      <c r="H188" s="113"/>
      <c r="I188" s="113"/>
      <c r="J188" s="113"/>
      <c r="K188" s="113"/>
      <c r="L188" s="113"/>
      <c r="M188" s="113"/>
      <c r="N188" s="113"/>
      <c r="O188" s="113"/>
      <c r="P188" s="113"/>
      <c r="Q188" s="113"/>
      <c r="R188" s="113"/>
      <c r="S188" s="117">
        <f t="shared" ref="S188:AD188" si="161">IF(S182=0,0,$H$11/26*S$7*IF(OR($G182=0,$G182=1),1,$G182))</f>
        <v>0</v>
      </c>
      <c r="T188" s="117">
        <f t="shared" si="161"/>
        <v>0</v>
      </c>
      <c r="U188" s="117">
        <f t="shared" si="161"/>
        <v>0</v>
      </c>
      <c r="V188" s="117">
        <f t="shared" si="161"/>
        <v>0</v>
      </c>
      <c r="W188" s="117">
        <f t="shared" si="161"/>
        <v>0</v>
      </c>
      <c r="X188" s="117">
        <f t="shared" si="161"/>
        <v>0</v>
      </c>
      <c r="Y188" s="117">
        <f t="shared" si="161"/>
        <v>0</v>
      </c>
      <c r="Z188" s="117">
        <f t="shared" si="161"/>
        <v>0</v>
      </c>
      <c r="AA188" s="117">
        <f t="shared" si="161"/>
        <v>0</v>
      </c>
      <c r="AB188" s="117">
        <f t="shared" si="161"/>
        <v>0</v>
      </c>
      <c r="AC188" s="117">
        <f t="shared" si="161"/>
        <v>0</v>
      </c>
      <c r="AD188" s="117">
        <f t="shared" si="161"/>
        <v>0</v>
      </c>
      <c r="AE188" s="115"/>
      <c r="AZ188" s="20"/>
    </row>
    <row r="189" spans="1:52" hidden="1">
      <c r="A189" s="1" t="str">
        <f>A187</f>
        <v>Uncheck to Hide</v>
      </c>
      <c r="B189" s="128"/>
      <c r="C189" s="118" t="str">
        <f>IF($E$9="CA","",$C$269)</f>
        <v>HEALTH INS. &amp; EMPL. BENEFITS</v>
      </c>
      <c r="D189" s="119"/>
      <c r="E189" s="120"/>
      <c r="F189" s="120"/>
      <c r="G189" s="120"/>
      <c r="H189" s="120"/>
      <c r="I189" s="120"/>
      <c r="J189" s="120"/>
      <c r="K189" s="120"/>
      <c r="L189" s="120"/>
      <c r="M189" s="120"/>
      <c r="N189" s="120"/>
      <c r="O189" s="120"/>
      <c r="P189" s="120"/>
      <c r="Q189" s="120"/>
      <c r="R189" s="120"/>
      <c r="S189" s="121">
        <f t="shared" ref="S189:AD189" si="162">IF(OR($E$9="CA",$E$9="CO",$E$9="OR",$E$9="WA"),0,IF($G182=0,0,$G182*$E$7*S$8/2+S184*$CC$6))</f>
        <v>0</v>
      </c>
      <c r="T189" s="121">
        <f t="shared" si="162"/>
        <v>0</v>
      </c>
      <c r="U189" s="121">
        <f t="shared" si="162"/>
        <v>0</v>
      </c>
      <c r="V189" s="121">
        <f t="shared" si="162"/>
        <v>0</v>
      </c>
      <c r="W189" s="121">
        <f t="shared" si="162"/>
        <v>0</v>
      </c>
      <c r="X189" s="121">
        <f t="shared" si="162"/>
        <v>0</v>
      </c>
      <c r="Y189" s="121">
        <f t="shared" si="162"/>
        <v>0</v>
      </c>
      <c r="Z189" s="121">
        <f t="shared" si="162"/>
        <v>0</v>
      </c>
      <c r="AA189" s="121">
        <f t="shared" si="162"/>
        <v>0</v>
      </c>
      <c r="AB189" s="121">
        <f t="shared" si="162"/>
        <v>0</v>
      </c>
      <c r="AC189" s="121">
        <f t="shared" si="162"/>
        <v>0</v>
      </c>
      <c r="AD189" s="121">
        <f t="shared" si="162"/>
        <v>0</v>
      </c>
      <c r="AE189" s="115"/>
    </row>
    <row r="190" spans="1:52" hidden="1">
      <c r="A190" s="1" t="str">
        <f>IF(F190+G190+H190+M190=0,"Uncheck to Hide","")</f>
        <v>Uncheck to Hide</v>
      </c>
      <c r="B190" s="74" t="str">
        <f>B182</f>
        <v>6535-000  GROUNDS PAYROLL</v>
      </c>
      <c r="C190" s="75" t="s">
        <v>148</v>
      </c>
      <c r="D190" s="76"/>
      <c r="E190" s="77"/>
      <c r="F190" s="78"/>
      <c r="G190" s="125"/>
      <c r="H190" s="80"/>
      <c r="I190" s="80">
        <v>15</v>
      </c>
      <c r="J190" s="81"/>
      <c r="K190" s="82"/>
      <c r="L190" s="83"/>
      <c r="M190" s="84">
        <f>ROUND(K190*(1+L190),2)</f>
        <v>0</v>
      </c>
      <c r="N190" s="85"/>
      <c r="O190" s="85"/>
      <c r="P190" s="86">
        <f>IF(SUM(S191:AD191)&gt;0,1,0)</f>
        <v>0</v>
      </c>
      <c r="Q190" s="87">
        <f>M190*N190*52</f>
        <v>0</v>
      </c>
      <c r="R190" s="88"/>
      <c r="S190" s="89">
        <f t="shared" ref="S190:AD190" si="163">IF(S191="",$M190*$N190*2*S$7+$P192*S$7+$O190*$M190*1.5*2*S$7+IF($O$10="Y",(SUMIF($CS$3:$DT$3,S$1,$CS$8:$DT$8)-SUMIF($CS$3:$DT$3,R$1,$CS$8:$DT$8))*($M190*$N190*2*S$7+$P192*S$7+$O190*$M190*1.5*2*S$7)/(S$7*14),0)+IF($O$11="Y",(SUMIF($CS$3:$DT$3,S$1,$CS$8:$DT$8)*CU$11-SUMIF($CS$3:$DT$3,R$1,$CS$8:$DT$8)*CT$11)*($M190*$N190*2*S$7+$P192*S$7+$O190*$M190*1.5*2*S$7)/(S$7*14),0),S191)</f>
        <v>0</v>
      </c>
      <c r="T190" s="89">
        <f t="shared" si="163"/>
        <v>0</v>
      </c>
      <c r="U190" s="89">
        <f t="shared" si="163"/>
        <v>0</v>
      </c>
      <c r="V190" s="89">
        <f t="shared" si="163"/>
        <v>0</v>
      </c>
      <c r="W190" s="89">
        <f t="shared" si="163"/>
        <v>0</v>
      </c>
      <c r="X190" s="89">
        <f t="shared" si="163"/>
        <v>0</v>
      </c>
      <c r="Y190" s="89">
        <f t="shared" si="163"/>
        <v>0</v>
      </c>
      <c r="Z190" s="89">
        <f t="shared" si="163"/>
        <v>0</v>
      </c>
      <c r="AA190" s="89">
        <f t="shared" si="163"/>
        <v>0</v>
      </c>
      <c r="AB190" s="89">
        <f t="shared" si="163"/>
        <v>0</v>
      </c>
      <c r="AC190" s="89">
        <f t="shared" si="163"/>
        <v>0</v>
      </c>
      <c r="AD190" s="89">
        <f t="shared" si="163"/>
        <v>0</v>
      </c>
      <c r="AE190" s="90">
        <f>SUM(S190:AD190)</f>
        <v>0</v>
      </c>
    </row>
    <row r="191" spans="1:52" hidden="1">
      <c r="A191" s="1" t="str">
        <f>A190</f>
        <v>Uncheck to Hide</v>
      </c>
      <c r="B191" s="92"/>
      <c r="C191" s="93"/>
      <c r="D191" s="93"/>
      <c r="E191" s="93"/>
      <c r="F191" s="93"/>
      <c r="G191" s="93"/>
      <c r="H191" s="93"/>
      <c r="I191" s="93"/>
      <c r="J191" s="93"/>
      <c r="K191" s="93"/>
      <c r="L191" s="93"/>
      <c r="M191" s="93"/>
      <c r="N191" s="93"/>
      <c r="O191" s="93"/>
      <c r="P191" s="93"/>
      <c r="Q191" s="93"/>
      <c r="R191" s="93"/>
      <c r="S191" s="94"/>
      <c r="T191" s="94"/>
      <c r="U191" s="94"/>
      <c r="V191" s="94"/>
      <c r="W191" s="94"/>
      <c r="X191" s="94"/>
      <c r="Y191" s="94"/>
      <c r="Z191" s="94"/>
      <c r="AA191" s="94"/>
      <c r="AB191" s="94"/>
      <c r="AC191" s="94"/>
      <c r="AD191" s="94"/>
      <c r="AE191" s="93"/>
      <c r="AG191" s="95">
        <f>IF(AE190=0,0,1)</f>
        <v>0</v>
      </c>
      <c r="AH191" s="6" t="str">
        <f>IF(AG191=0,"",IF(AG174&gt;1,", 1 at "," at ")&amp;"$"&amp;ROUND(M190,2)&amp;"/hour, working "&amp;N190&amp;" hours per week with"&amp;IF(E190&gt;0," housing","out housing"))</f>
        <v/>
      </c>
    </row>
    <row r="192" spans="1:52" s="58" customFormat="1" ht="12.75" hidden="1" customHeight="1">
      <c r="A192" s="96" t="s">
        <v>113</v>
      </c>
      <c r="B192" s="129"/>
      <c r="C192" s="130"/>
      <c r="D192" s="131"/>
      <c r="E192" s="131"/>
      <c r="F192" s="131"/>
      <c r="G192" s="132"/>
      <c r="H192" s="132"/>
      <c r="I192" s="132"/>
      <c r="J192" s="132"/>
      <c r="K192" s="132"/>
      <c r="L192" s="132"/>
      <c r="M192" s="133"/>
      <c r="N192" s="134"/>
      <c r="O192" s="134"/>
      <c r="P192" s="103">
        <f>+M190*N190*R190/AE$7</f>
        <v>0</v>
      </c>
      <c r="Q192" s="135"/>
      <c r="S192" s="106">
        <f t="shared" ref="S192:AD192" si="164">IF(S191&gt;0,S191-$P192*S$7,+S190-$P192*S$7)</f>
        <v>0</v>
      </c>
      <c r="T192" s="106">
        <f t="shared" si="164"/>
        <v>0</v>
      </c>
      <c r="U192" s="106">
        <f t="shared" si="164"/>
        <v>0</v>
      </c>
      <c r="V192" s="106">
        <f t="shared" si="164"/>
        <v>0</v>
      </c>
      <c r="W192" s="106">
        <f t="shared" si="164"/>
        <v>0</v>
      </c>
      <c r="X192" s="106">
        <f t="shared" si="164"/>
        <v>0</v>
      </c>
      <c r="Y192" s="106">
        <f t="shared" si="164"/>
        <v>0</v>
      </c>
      <c r="Z192" s="106">
        <f t="shared" si="164"/>
        <v>0</v>
      </c>
      <c r="AA192" s="106">
        <f t="shared" si="164"/>
        <v>0</v>
      </c>
      <c r="AB192" s="106">
        <f t="shared" si="164"/>
        <v>0</v>
      </c>
      <c r="AC192" s="106">
        <f t="shared" si="164"/>
        <v>0</v>
      </c>
      <c r="AD192" s="106">
        <f t="shared" si="164"/>
        <v>0</v>
      </c>
      <c r="AE192" s="136"/>
      <c r="AP192" s="108"/>
      <c r="AQ192" s="108"/>
      <c r="AR192" s="108"/>
      <c r="AS192" s="108"/>
    </row>
    <row r="193" spans="1:52" s="58" customFormat="1" ht="12.75" hidden="1" customHeight="1">
      <c r="A193" s="96" t="s">
        <v>113</v>
      </c>
      <c r="B193" s="129"/>
      <c r="C193" s="130"/>
      <c r="D193" s="131"/>
      <c r="E193" s="131"/>
      <c r="F193" s="131"/>
      <c r="G193" s="132"/>
      <c r="H193" s="132"/>
      <c r="I193" s="132"/>
      <c r="J193" s="132"/>
      <c r="K193" s="132"/>
      <c r="L193" s="132"/>
      <c r="M193" s="133"/>
      <c r="N193" s="134"/>
      <c r="O193" s="134"/>
      <c r="P193" s="131"/>
      <c r="Q193" s="135"/>
      <c r="R193" s="135"/>
      <c r="S193" s="137">
        <f>+S192</f>
        <v>0</v>
      </c>
      <c r="T193" s="137">
        <f t="shared" ref="T193:AD193" si="165">+T192+S193</f>
        <v>0</v>
      </c>
      <c r="U193" s="137">
        <f t="shared" si="165"/>
        <v>0</v>
      </c>
      <c r="V193" s="137">
        <f t="shared" si="165"/>
        <v>0</v>
      </c>
      <c r="W193" s="137">
        <f t="shared" si="165"/>
        <v>0</v>
      </c>
      <c r="X193" s="137">
        <f t="shared" si="165"/>
        <v>0</v>
      </c>
      <c r="Y193" s="137">
        <f t="shared" si="165"/>
        <v>0</v>
      </c>
      <c r="Z193" s="137">
        <f t="shared" si="165"/>
        <v>0</v>
      </c>
      <c r="AA193" s="137">
        <f t="shared" si="165"/>
        <v>0</v>
      </c>
      <c r="AB193" s="137">
        <f t="shared" si="165"/>
        <v>0</v>
      </c>
      <c r="AC193" s="137">
        <f t="shared" si="165"/>
        <v>0</v>
      </c>
      <c r="AD193" s="137">
        <f t="shared" si="165"/>
        <v>0</v>
      </c>
      <c r="AE193" s="136"/>
      <c r="AP193" s="108"/>
      <c r="AQ193" s="108"/>
      <c r="AR193" s="108"/>
      <c r="AS193" s="108"/>
    </row>
    <row r="194" spans="1:52" hidden="1">
      <c r="A194" s="1" t="str">
        <f>A191</f>
        <v>Uncheck to Hide</v>
      </c>
      <c r="B194" s="128"/>
      <c r="C194" s="112" t="s">
        <v>38</v>
      </c>
      <c r="D194" s="119"/>
      <c r="E194" s="120"/>
      <c r="F194" s="120"/>
      <c r="G194" s="120"/>
      <c r="H194" s="120"/>
      <c r="I194" s="120"/>
      <c r="J194" s="120"/>
      <c r="K194" s="120"/>
      <c r="L194" s="120"/>
      <c r="M194" s="120"/>
      <c r="N194" s="120"/>
      <c r="O194" s="120"/>
      <c r="P194" s="120"/>
      <c r="Q194" s="120"/>
      <c r="R194" s="120"/>
      <c r="S194" s="114">
        <f t="shared" ref="S194:AD194" si="166">IF($E$9="CA",IF(R193&lt;7000,$E$5*S192,($E$5-0.043)*S192),IF($E$9="IL",IF(R193&lt;12960,$E$5*S192,($E$5-0.04125)*S192),IF($E$9="PA",IF(R193&lt;10000,$E$5*S192,($E$5-0.071)*S192),IF($E$9="TX",IF(R193&lt;9000,$E$5*S192,($E$5-0.0363)*S192),$E$5*S192))))</f>
        <v>0</v>
      </c>
      <c r="T194" s="114">
        <f t="shared" si="166"/>
        <v>0</v>
      </c>
      <c r="U194" s="114">
        <f t="shared" si="166"/>
        <v>0</v>
      </c>
      <c r="V194" s="114">
        <f t="shared" si="166"/>
        <v>0</v>
      </c>
      <c r="W194" s="114">
        <f t="shared" si="166"/>
        <v>0</v>
      </c>
      <c r="X194" s="114">
        <f t="shared" si="166"/>
        <v>0</v>
      </c>
      <c r="Y194" s="114">
        <f t="shared" si="166"/>
        <v>0</v>
      </c>
      <c r="Z194" s="114">
        <f t="shared" si="166"/>
        <v>0</v>
      </c>
      <c r="AA194" s="114">
        <f t="shared" si="166"/>
        <v>0</v>
      </c>
      <c r="AB194" s="114">
        <f t="shared" si="166"/>
        <v>0</v>
      </c>
      <c r="AC194" s="114">
        <f t="shared" si="166"/>
        <v>0</v>
      </c>
      <c r="AD194" s="114">
        <f t="shared" si="166"/>
        <v>0</v>
      </c>
      <c r="AE194" s="115"/>
    </row>
    <row r="195" spans="1:52" hidden="1">
      <c r="A195" s="1" t="str">
        <f>A194</f>
        <v>Uncheck to Hide</v>
      </c>
      <c r="B195" s="128"/>
      <c r="C195" s="112" t="s">
        <v>114</v>
      </c>
      <c r="D195" s="119"/>
      <c r="E195" s="120"/>
      <c r="F195" s="120"/>
      <c r="G195" s="120"/>
      <c r="H195" s="120"/>
      <c r="I195" s="120"/>
      <c r="J195" s="120"/>
      <c r="K195" s="120"/>
      <c r="L195" s="120"/>
      <c r="M195" s="120"/>
      <c r="N195" s="120"/>
      <c r="O195" s="120"/>
      <c r="P195" s="120"/>
      <c r="Q195" s="120"/>
      <c r="R195" s="120"/>
      <c r="S195" s="117">
        <f t="shared" ref="S195:AD195" si="167">IF($E$9="WA",IF(S$1&lt;$G$6,$E$6*$N190*2*S$7+$CA$5*S192,$F$6*$N190*2*S$7+$CA$5*S192),IF($E$9="NV",IF(R193&gt;36000,0,IF(S$1&lt;$G$6,$E$6*S192,$F$6*S192)),IF(S$1&lt;$G$6,$E$6*S192,$F$6*S192)))</f>
        <v>0</v>
      </c>
      <c r="T195" s="117">
        <f t="shared" si="167"/>
        <v>0</v>
      </c>
      <c r="U195" s="117">
        <f t="shared" si="167"/>
        <v>0</v>
      </c>
      <c r="V195" s="117">
        <f t="shared" si="167"/>
        <v>0</v>
      </c>
      <c r="W195" s="117">
        <f t="shared" si="167"/>
        <v>0</v>
      </c>
      <c r="X195" s="117">
        <f t="shared" si="167"/>
        <v>0</v>
      </c>
      <c r="Y195" s="117">
        <f t="shared" si="167"/>
        <v>0</v>
      </c>
      <c r="Z195" s="117">
        <f t="shared" si="167"/>
        <v>0</v>
      </c>
      <c r="AA195" s="117">
        <f t="shared" si="167"/>
        <v>0</v>
      </c>
      <c r="AB195" s="117">
        <f t="shared" si="167"/>
        <v>0</v>
      </c>
      <c r="AC195" s="117">
        <f t="shared" si="167"/>
        <v>0</v>
      </c>
      <c r="AD195" s="117">
        <f t="shared" si="167"/>
        <v>0</v>
      </c>
      <c r="AE195" s="115"/>
    </row>
    <row r="196" spans="1:52" ht="13" hidden="1">
      <c r="A196" s="1" t="str">
        <f>A195</f>
        <v>Uncheck to Hide</v>
      </c>
      <c r="B196" s="111"/>
      <c r="C196" s="118" t="s">
        <v>86</v>
      </c>
      <c r="D196" s="113"/>
      <c r="E196" s="113"/>
      <c r="F196" s="113"/>
      <c r="G196" s="113"/>
      <c r="H196" s="113"/>
      <c r="I196" s="113"/>
      <c r="J196" s="113"/>
      <c r="K196" s="113"/>
      <c r="L196" s="113"/>
      <c r="M196" s="113"/>
      <c r="N196" s="113"/>
      <c r="O196" s="113"/>
      <c r="P196" s="113"/>
      <c r="Q196" s="113"/>
      <c r="R196" s="113"/>
      <c r="S196" s="117">
        <f t="shared" ref="S196:AD196" si="168">IF(S190=0,0,$H$11/26*S$7*IF(OR($G190=0,$G190=1),1,$G190))</f>
        <v>0</v>
      </c>
      <c r="T196" s="117">
        <f t="shared" si="168"/>
        <v>0</v>
      </c>
      <c r="U196" s="117">
        <f t="shared" si="168"/>
        <v>0</v>
      </c>
      <c r="V196" s="117">
        <f t="shared" si="168"/>
        <v>0</v>
      </c>
      <c r="W196" s="117">
        <f t="shared" si="168"/>
        <v>0</v>
      </c>
      <c r="X196" s="117">
        <f t="shared" si="168"/>
        <v>0</v>
      </c>
      <c r="Y196" s="117">
        <f t="shared" si="168"/>
        <v>0</v>
      </c>
      <c r="Z196" s="117">
        <f t="shared" si="168"/>
        <v>0</v>
      </c>
      <c r="AA196" s="117">
        <f t="shared" si="168"/>
        <v>0</v>
      </c>
      <c r="AB196" s="117">
        <f t="shared" si="168"/>
        <v>0</v>
      </c>
      <c r="AC196" s="117">
        <f t="shared" si="168"/>
        <v>0</v>
      </c>
      <c r="AD196" s="117">
        <f t="shared" si="168"/>
        <v>0</v>
      </c>
      <c r="AE196" s="115"/>
      <c r="AZ196" s="20"/>
    </row>
    <row r="197" spans="1:52" hidden="1">
      <c r="A197" s="1" t="str">
        <f>A195</f>
        <v>Uncheck to Hide</v>
      </c>
      <c r="B197" s="128"/>
      <c r="C197" s="118" t="str">
        <f>IF($E$9="CA","",$C$269)</f>
        <v>HEALTH INS. &amp; EMPL. BENEFITS</v>
      </c>
      <c r="D197" s="119"/>
      <c r="E197" s="120"/>
      <c r="F197" s="120"/>
      <c r="G197" s="120"/>
      <c r="H197" s="120"/>
      <c r="I197" s="120"/>
      <c r="J197" s="120"/>
      <c r="K197" s="120"/>
      <c r="L197" s="120"/>
      <c r="M197" s="120"/>
      <c r="N197" s="120"/>
      <c r="O197" s="120"/>
      <c r="P197" s="120"/>
      <c r="Q197" s="120"/>
      <c r="R197" s="120"/>
      <c r="S197" s="121">
        <f t="shared" ref="S197:AD197" si="169">IF(OR($E$9="CA",$E$9="CO",$E$9="OR",$E$9="WA"),0,IF($G190=0,0,$G190*$E$7*S$8/2+S192*$CC$6))</f>
        <v>0</v>
      </c>
      <c r="T197" s="121">
        <f t="shared" si="169"/>
        <v>0</v>
      </c>
      <c r="U197" s="121">
        <f t="shared" si="169"/>
        <v>0</v>
      </c>
      <c r="V197" s="121">
        <f t="shared" si="169"/>
        <v>0</v>
      </c>
      <c r="W197" s="121">
        <f t="shared" si="169"/>
        <v>0</v>
      </c>
      <c r="X197" s="121">
        <f t="shared" si="169"/>
        <v>0</v>
      </c>
      <c r="Y197" s="121">
        <f t="shared" si="169"/>
        <v>0</v>
      </c>
      <c r="Z197" s="121">
        <f t="shared" si="169"/>
        <v>0</v>
      </c>
      <c r="AA197" s="121">
        <f t="shared" si="169"/>
        <v>0</v>
      </c>
      <c r="AB197" s="121">
        <f t="shared" si="169"/>
        <v>0</v>
      </c>
      <c r="AC197" s="121">
        <f t="shared" si="169"/>
        <v>0</v>
      </c>
      <c r="AD197" s="121">
        <f t="shared" si="169"/>
        <v>0</v>
      </c>
      <c r="AE197" s="115"/>
    </row>
    <row r="198" spans="1:52" hidden="1">
      <c r="A198" s="1" t="str">
        <f>IF(F198+G198+H198+M198=0,"Uncheck to Hide","")</f>
        <v>Uncheck to Hide</v>
      </c>
      <c r="B198" s="74" t="str">
        <f>B190</f>
        <v>6535-000  GROUNDS PAYROLL</v>
      </c>
      <c r="C198" s="75" t="s">
        <v>149</v>
      </c>
      <c r="D198" s="76"/>
      <c r="E198" s="77"/>
      <c r="F198" s="78"/>
      <c r="G198" s="125"/>
      <c r="H198" s="80"/>
      <c r="I198" s="80">
        <v>15</v>
      </c>
      <c r="J198" s="81"/>
      <c r="K198" s="82"/>
      <c r="L198" s="83"/>
      <c r="M198" s="84">
        <f>ROUND(K198*(1+L198),2)</f>
        <v>0</v>
      </c>
      <c r="N198" s="85"/>
      <c r="O198" s="85"/>
      <c r="P198" s="86">
        <f>IF(SUM(S199:AD199)&gt;0,1,0)</f>
        <v>0</v>
      </c>
      <c r="Q198" s="87">
        <f>M198*N198*52</f>
        <v>0</v>
      </c>
      <c r="R198" s="88"/>
      <c r="S198" s="89">
        <f t="shared" ref="S198:AD198" si="170">IF(S199="",$M198*$N198*2*S$7+$P200*S$7+$O198*$M198*1.5*2*S$7+IF($O$10="Y",(SUMIF($CS$3:$DT$3,S$1,$CS$8:$DT$8)-SUMIF($CS$3:$DT$3,R$1,$CS$8:$DT$8))*($M198*$N198*2*S$7+$P200*S$7+$O198*$M198*1.5*2*S$7)/(S$7*14),0)+IF($O$11="Y",(SUMIF($CS$3:$DT$3,S$1,$CS$8:$DT$8)*CU$11-SUMIF($CS$3:$DT$3,R$1,$CS$8:$DT$8)*CT$11)*($M198*$N198*2*S$7+$P200*S$7+$O198*$M198*1.5*2*S$7)/(S$7*14),0),S199)</f>
        <v>0</v>
      </c>
      <c r="T198" s="89">
        <f t="shared" si="170"/>
        <v>0</v>
      </c>
      <c r="U198" s="89">
        <f t="shared" si="170"/>
        <v>0</v>
      </c>
      <c r="V198" s="89">
        <f t="shared" si="170"/>
        <v>0</v>
      </c>
      <c r="W198" s="89">
        <f t="shared" si="170"/>
        <v>0</v>
      </c>
      <c r="X198" s="89">
        <f t="shared" si="170"/>
        <v>0</v>
      </c>
      <c r="Y198" s="89">
        <f t="shared" si="170"/>
        <v>0</v>
      </c>
      <c r="Z198" s="89">
        <f t="shared" si="170"/>
        <v>0</v>
      </c>
      <c r="AA198" s="89">
        <f t="shared" si="170"/>
        <v>0</v>
      </c>
      <c r="AB198" s="89">
        <f t="shared" si="170"/>
        <v>0</v>
      </c>
      <c r="AC198" s="89">
        <f t="shared" si="170"/>
        <v>0</v>
      </c>
      <c r="AD198" s="89">
        <f t="shared" si="170"/>
        <v>0</v>
      </c>
      <c r="AE198" s="90">
        <f>SUM(S198:AD198)</f>
        <v>0</v>
      </c>
    </row>
    <row r="199" spans="1:52" hidden="1">
      <c r="A199" s="1" t="str">
        <f>A198</f>
        <v>Uncheck to Hide</v>
      </c>
      <c r="B199" s="92"/>
      <c r="C199" s="93"/>
      <c r="D199" s="93"/>
      <c r="E199" s="93"/>
      <c r="F199" s="93"/>
      <c r="G199" s="93"/>
      <c r="H199" s="93"/>
      <c r="I199" s="93"/>
      <c r="J199" s="93"/>
      <c r="K199" s="93"/>
      <c r="L199" s="93"/>
      <c r="M199" s="93"/>
      <c r="N199" s="93"/>
      <c r="O199" s="93"/>
      <c r="P199" s="93"/>
      <c r="Q199" s="93"/>
      <c r="R199" s="93"/>
      <c r="S199" s="94"/>
      <c r="T199" s="94"/>
      <c r="U199" s="94"/>
      <c r="V199" s="94"/>
      <c r="W199" s="94"/>
      <c r="X199" s="94"/>
      <c r="Y199" s="94"/>
      <c r="Z199" s="94"/>
      <c r="AA199" s="94"/>
      <c r="AB199" s="94"/>
      <c r="AC199" s="94"/>
      <c r="AD199" s="94"/>
      <c r="AE199" s="93"/>
      <c r="AG199" s="95">
        <f>IF(AE198=0,0,1)</f>
        <v>0</v>
      </c>
      <c r="AH199" s="6" t="str">
        <f>IF(AG199=0,"",IF(AG174&gt;1,", 1 at "," at ")&amp;"$"&amp;ROUND(M198,2)&amp;"/hour, working "&amp;N198&amp;" hours per week with"&amp;IF(E198&gt;0," housing.","out housing."))</f>
        <v/>
      </c>
    </row>
    <row r="200" spans="1:52" s="58" customFormat="1" hidden="1">
      <c r="A200" s="96" t="s">
        <v>113</v>
      </c>
      <c r="B200" s="129"/>
      <c r="C200" s="130"/>
      <c r="D200" s="131"/>
      <c r="E200" s="131"/>
      <c r="F200" s="131"/>
      <c r="G200" s="132"/>
      <c r="H200" s="132"/>
      <c r="I200" s="132"/>
      <c r="J200" s="132"/>
      <c r="K200" s="132"/>
      <c r="L200" s="132"/>
      <c r="M200" s="133"/>
      <c r="N200" s="134"/>
      <c r="O200" s="134"/>
      <c r="P200" s="103">
        <f>+M198*N198*R198/AE$7</f>
        <v>0</v>
      </c>
      <c r="Q200" s="135"/>
      <c r="S200" s="106">
        <f t="shared" ref="S200:AD200" si="171">IF(S199&gt;0,S199-$P200*S$7,+S198-$P200*S$7)</f>
        <v>0</v>
      </c>
      <c r="T200" s="106">
        <f t="shared" si="171"/>
        <v>0</v>
      </c>
      <c r="U200" s="106">
        <f t="shared" si="171"/>
        <v>0</v>
      </c>
      <c r="V200" s="106">
        <f t="shared" si="171"/>
        <v>0</v>
      </c>
      <c r="W200" s="106">
        <f t="shared" si="171"/>
        <v>0</v>
      </c>
      <c r="X200" s="106">
        <f t="shared" si="171"/>
        <v>0</v>
      </c>
      <c r="Y200" s="106">
        <f t="shared" si="171"/>
        <v>0</v>
      </c>
      <c r="Z200" s="106">
        <f t="shared" si="171"/>
        <v>0</v>
      </c>
      <c r="AA200" s="106">
        <f t="shared" si="171"/>
        <v>0</v>
      </c>
      <c r="AB200" s="106">
        <f t="shared" si="171"/>
        <v>0</v>
      </c>
      <c r="AC200" s="106">
        <f t="shared" si="171"/>
        <v>0</v>
      </c>
      <c r="AD200" s="106">
        <f t="shared" si="171"/>
        <v>0</v>
      </c>
      <c r="AE200" s="136"/>
      <c r="AP200" s="108"/>
      <c r="AQ200" s="108"/>
      <c r="AR200" s="108"/>
      <c r="AS200" s="108"/>
    </row>
    <row r="201" spans="1:52" s="58" customFormat="1" hidden="1">
      <c r="A201" s="96" t="s">
        <v>113</v>
      </c>
      <c r="B201" s="129"/>
      <c r="C201" s="130"/>
      <c r="D201" s="131"/>
      <c r="E201" s="131"/>
      <c r="F201" s="131"/>
      <c r="G201" s="132"/>
      <c r="H201" s="132"/>
      <c r="I201" s="132"/>
      <c r="J201" s="132"/>
      <c r="K201" s="132"/>
      <c r="L201" s="132"/>
      <c r="M201" s="133"/>
      <c r="N201" s="134"/>
      <c r="O201" s="134"/>
      <c r="P201" s="131"/>
      <c r="Q201" s="135"/>
      <c r="R201" s="135"/>
      <c r="S201" s="137">
        <f>+S200</f>
        <v>0</v>
      </c>
      <c r="T201" s="137">
        <f t="shared" ref="T201:AD201" si="172">+T200+S201</f>
        <v>0</v>
      </c>
      <c r="U201" s="137">
        <f t="shared" si="172"/>
        <v>0</v>
      </c>
      <c r="V201" s="137">
        <f t="shared" si="172"/>
        <v>0</v>
      </c>
      <c r="W201" s="137">
        <f t="shared" si="172"/>
        <v>0</v>
      </c>
      <c r="X201" s="137">
        <f t="shared" si="172"/>
        <v>0</v>
      </c>
      <c r="Y201" s="137">
        <f t="shared" si="172"/>
        <v>0</v>
      </c>
      <c r="Z201" s="137">
        <f t="shared" si="172"/>
        <v>0</v>
      </c>
      <c r="AA201" s="137">
        <f t="shared" si="172"/>
        <v>0</v>
      </c>
      <c r="AB201" s="137">
        <f t="shared" si="172"/>
        <v>0</v>
      </c>
      <c r="AC201" s="137">
        <f t="shared" si="172"/>
        <v>0</v>
      </c>
      <c r="AD201" s="137">
        <f t="shared" si="172"/>
        <v>0</v>
      </c>
      <c r="AE201" s="136"/>
      <c r="AP201" s="108"/>
      <c r="AQ201" s="108"/>
      <c r="AR201" s="108"/>
      <c r="AS201" s="108"/>
    </row>
    <row r="202" spans="1:52" hidden="1">
      <c r="A202" s="1" t="str">
        <f>A199</f>
        <v>Uncheck to Hide</v>
      </c>
      <c r="B202" s="128"/>
      <c r="C202" s="112" t="s">
        <v>38</v>
      </c>
      <c r="D202" s="119"/>
      <c r="E202" s="120"/>
      <c r="F202" s="120"/>
      <c r="G202" s="120"/>
      <c r="H202" s="120"/>
      <c r="I202" s="120"/>
      <c r="J202" s="120"/>
      <c r="K202" s="120"/>
      <c r="L202" s="120"/>
      <c r="M202" s="120"/>
      <c r="N202" s="120"/>
      <c r="O202" s="120"/>
      <c r="P202" s="120"/>
      <c r="Q202" s="120"/>
      <c r="R202" s="120"/>
      <c r="S202" s="114">
        <f t="shared" ref="S202:AD202" si="173">IF($E$9="CA",IF(R201&lt;7000,$E$5*S200,($E$5-0.043)*S200),IF($E$9="IL",IF(R201&lt;12960,$E$5*S200,($E$5-0.04125)*S200),IF($E$9="PA",IF(R201&lt;10000,$E$5*S200,($E$5-0.071)*S200),IF($E$9="TX",IF(R201&lt;9000,$E$5*S200,($E$5-0.0363)*S200),$E$5*S200))))</f>
        <v>0</v>
      </c>
      <c r="T202" s="114">
        <f t="shared" si="173"/>
        <v>0</v>
      </c>
      <c r="U202" s="114">
        <f t="shared" si="173"/>
        <v>0</v>
      </c>
      <c r="V202" s="114">
        <f t="shared" si="173"/>
        <v>0</v>
      </c>
      <c r="W202" s="114">
        <f t="shared" si="173"/>
        <v>0</v>
      </c>
      <c r="X202" s="114">
        <f t="shared" si="173"/>
        <v>0</v>
      </c>
      <c r="Y202" s="114">
        <f t="shared" si="173"/>
        <v>0</v>
      </c>
      <c r="Z202" s="114">
        <f t="shared" si="173"/>
        <v>0</v>
      </c>
      <c r="AA202" s="114">
        <f t="shared" si="173"/>
        <v>0</v>
      </c>
      <c r="AB202" s="114">
        <f t="shared" si="173"/>
        <v>0</v>
      </c>
      <c r="AC202" s="114">
        <f t="shared" si="173"/>
        <v>0</v>
      </c>
      <c r="AD202" s="114">
        <f t="shared" si="173"/>
        <v>0</v>
      </c>
      <c r="AE202" s="115"/>
    </row>
    <row r="203" spans="1:52" hidden="1">
      <c r="A203" s="1" t="str">
        <f>A202</f>
        <v>Uncheck to Hide</v>
      </c>
      <c r="B203" s="128"/>
      <c r="C203" s="112" t="s">
        <v>114</v>
      </c>
      <c r="D203" s="119"/>
      <c r="E203" s="120"/>
      <c r="F203" s="120"/>
      <c r="G203" s="120"/>
      <c r="H203" s="120"/>
      <c r="I203" s="120"/>
      <c r="J203" s="120"/>
      <c r="K203" s="120"/>
      <c r="L203" s="120"/>
      <c r="M203" s="120"/>
      <c r="N203" s="120"/>
      <c r="O203" s="120"/>
      <c r="P203" s="120"/>
      <c r="Q203" s="120"/>
      <c r="R203" s="120"/>
      <c r="S203" s="117">
        <f t="shared" ref="S203:AD203" si="174">IF($E$9="WA",IF(S$1&lt;$G$6,$E$6*$N198*2*S$7+$CA$5*S200,$F$6*$N198*2*S$7+$CA$5*S200),IF($E$9="NV",IF(R201&gt;36000,0,IF(S$1&lt;$G$6,$E$6*S200,$F$6*S200)),IF(S$1&lt;$G$6,$E$6*S200,$F$6*S200)))</f>
        <v>0</v>
      </c>
      <c r="T203" s="117">
        <f t="shared" si="174"/>
        <v>0</v>
      </c>
      <c r="U203" s="117">
        <f t="shared" si="174"/>
        <v>0</v>
      </c>
      <c r="V203" s="117">
        <f t="shared" si="174"/>
        <v>0</v>
      </c>
      <c r="W203" s="117">
        <f t="shared" si="174"/>
        <v>0</v>
      </c>
      <c r="X203" s="117">
        <f t="shared" si="174"/>
        <v>0</v>
      </c>
      <c r="Y203" s="117">
        <f t="shared" si="174"/>
        <v>0</v>
      </c>
      <c r="Z203" s="117">
        <f t="shared" si="174"/>
        <v>0</v>
      </c>
      <c r="AA203" s="117">
        <f t="shared" si="174"/>
        <v>0</v>
      </c>
      <c r="AB203" s="117">
        <f t="shared" si="174"/>
        <v>0</v>
      </c>
      <c r="AC203" s="117">
        <f t="shared" si="174"/>
        <v>0</v>
      </c>
      <c r="AD203" s="117">
        <f t="shared" si="174"/>
        <v>0</v>
      </c>
      <c r="AE203" s="115"/>
    </row>
    <row r="204" spans="1:52" ht="13" hidden="1">
      <c r="A204" s="1" t="str">
        <f>A203</f>
        <v>Uncheck to Hide</v>
      </c>
      <c r="B204" s="111"/>
      <c r="C204" s="118" t="s">
        <v>86</v>
      </c>
      <c r="D204" s="113"/>
      <c r="E204" s="113"/>
      <c r="F204" s="113"/>
      <c r="G204" s="113"/>
      <c r="H204" s="113"/>
      <c r="I204" s="113"/>
      <c r="J204" s="113"/>
      <c r="K204" s="113"/>
      <c r="L204" s="113"/>
      <c r="M204" s="113"/>
      <c r="N204" s="113"/>
      <c r="O204" s="113"/>
      <c r="P204" s="113"/>
      <c r="Q204" s="113"/>
      <c r="R204" s="113"/>
      <c r="S204" s="117">
        <f t="shared" ref="S204:AD204" si="175">IF(S198=0,0,$H$11/26*S$7*IF(OR($G198=0,$G198=1),1,$G198))</f>
        <v>0</v>
      </c>
      <c r="T204" s="117">
        <f t="shared" si="175"/>
        <v>0</v>
      </c>
      <c r="U204" s="117">
        <f t="shared" si="175"/>
        <v>0</v>
      </c>
      <c r="V204" s="117">
        <f t="shared" si="175"/>
        <v>0</v>
      </c>
      <c r="W204" s="117">
        <f t="shared" si="175"/>
        <v>0</v>
      </c>
      <c r="X204" s="117">
        <f t="shared" si="175"/>
        <v>0</v>
      </c>
      <c r="Y204" s="117">
        <f t="shared" si="175"/>
        <v>0</v>
      </c>
      <c r="Z204" s="117">
        <f t="shared" si="175"/>
        <v>0</v>
      </c>
      <c r="AA204" s="117">
        <f t="shared" si="175"/>
        <v>0</v>
      </c>
      <c r="AB204" s="117">
        <f t="shared" si="175"/>
        <v>0</v>
      </c>
      <c r="AC204" s="117">
        <f t="shared" si="175"/>
        <v>0</v>
      </c>
      <c r="AD204" s="117">
        <f t="shared" si="175"/>
        <v>0</v>
      </c>
      <c r="AE204" s="115"/>
      <c r="AZ204" s="20"/>
    </row>
    <row r="205" spans="1:52" hidden="1">
      <c r="A205" s="1" t="str">
        <f>A203</f>
        <v>Uncheck to Hide</v>
      </c>
      <c r="B205" s="128"/>
      <c r="C205" s="118" t="str">
        <f>IF($E$9="CA","",$C$269)</f>
        <v>HEALTH INS. &amp; EMPL. BENEFITS</v>
      </c>
      <c r="D205" s="119"/>
      <c r="E205" s="120"/>
      <c r="F205" s="120"/>
      <c r="G205" s="120"/>
      <c r="H205" s="120"/>
      <c r="I205" s="120"/>
      <c r="J205" s="120"/>
      <c r="K205" s="120"/>
      <c r="L205" s="120"/>
      <c r="M205" s="120"/>
      <c r="N205" s="120"/>
      <c r="O205" s="120"/>
      <c r="P205" s="120"/>
      <c r="Q205" s="120"/>
      <c r="R205" s="120"/>
      <c r="S205" s="121">
        <f t="shared" ref="S205:AD205" si="176">IF(OR($E$9="CA",$E$9="CO",$E$9="OR",$E$9="WA"),0,IF($G198=0,0,$G198*$E$7*S$8/2+S200*$CC$6))</f>
        <v>0</v>
      </c>
      <c r="T205" s="121">
        <f t="shared" si="176"/>
        <v>0</v>
      </c>
      <c r="U205" s="121">
        <f t="shared" si="176"/>
        <v>0</v>
      </c>
      <c r="V205" s="121">
        <f t="shared" si="176"/>
        <v>0</v>
      </c>
      <c r="W205" s="121">
        <f t="shared" si="176"/>
        <v>0</v>
      </c>
      <c r="X205" s="121">
        <f t="shared" si="176"/>
        <v>0</v>
      </c>
      <c r="Y205" s="121">
        <f t="shared" si="176"/>
        <v>0</v>
      </c>
      <c r="Z205" s="121">
        <f t="shared" si="176"/>
        <v>0</v>
      </c>
      <c r="AA205" s="121">
        <f t="shared" si="176"/>
        <v>0</v>
      </c>
      <c r="AB205" s="121">
        <f t="shared" si="176"/>
        <v>0</v>
      </c>
      <c r="AC205" s="121">
        <f t="shared" si="176"/>
        <v>0</v>
      </c>
      <c r="AD205" s="121">
        <f t="shared" si="176"/>
        <v>0</v>
      </c>
      <c r="AE205" s="115"/>
    </row>
    <row r="206" spans="1:52" hidden="1">
      <c r="A206" s="1" t="str">
        <f>IF(F206+G206+H206+M206=0,"Uncheck to Hide","")</f>
        <v>Uncheck to Hide</v>
      </c>
      <c r="B206" s="74" t="s">
        <v>150</v>
      </c>
      <c r="C206" s="75" t="s">
        <v>151</v>
      </c>
      <c r="D206" s="76"/>
      <c r="E206" s="77"/>
      <c r="F206" s="78"/>
      <c r="G206" s="125"/>
      <c r="H206" s="80"/>
      <c r="I206" s="80">
        <v>15</v>
      </c>
      <c r="J206" s="81"/>
      <c r="K206" s="82"/>
      <c r="L206" s="83"/>
      <c r="M206" s="84">
        <f>ROUND(K206*(1+L206),2)</f>
        <v>0</v>
      </c>
      <c r="N206" s="85"/>
      <c r="O206" s="85"/>
      <c r="P206" s="86">
        <f>IF(SUM(S207:AD207)&gt;0,1,0)</f>
        <v>0</v>
      </c>
      <c r="Q206" s="87">
        <f>M206*N206*52</f>
        <v>0</v>
      </c>
      <c r="R206" s="88"/>
      <c r="S206" s="89">
        <f t="shared" ref="S206:AD206" si="177">IF(S207="",$M206*$N206*2*S$7+$P208*S$7+$O206*$M206*1.5*2*S$7+IF($O$10="Y",(SUMIF($CS$3:$DT$3,S$1,$CS$8:$DT$8)-SUMIF($CS$3:$DT$3,R$1,$CS$8:$DT$8))*($M206*$N206*2*S$7+$P208*S$7+$O206*$M206*1.5*2*S$7)/(S$7*14),0)+IF($O$11="Y",(SUMIF($CS$3:$DT$3,S$1,$CS$8:$DT$8)*CU$11-SUMIF($CS$3:$DT$3,R$1,$CS$8:$DT$8)*CT$11)*($M206*$N206*2*S$7+$P208*S$7+$O206*$M206*1.5*2*S$7)/(S$7*14),0),S207)</f>
        <v>0</v>
      </c>
      <c r="T206" s="89">
        <f t="shared" si="177"/>
        <v>0</v>
      </c>
      <c r="U206" s="89">
        <f t="shared" si="177"/>
        <v>0</v>
      </c>
      <c r="V206" s="89">
        <f t="shared" si="177"/>
        <v>0</v>
      </c>
      <c r="W206" s="89">
        <f t="shared" si="177"/>
        <v>0</v>
      </c>
      <c r="X206" s="89">
        <f t="shared" si="177"/>
        <v>0</v>
      </c>
      <c r="Y206" s="89">
        <f t="shared" si="177"/>
        <v>0</v>
      </c>
      <c r="Z206" s="89">
        <f t="shared" si="177"/>
        <v>0</v>
      </c>
      <c r="AA206" s="89">
        <f t="shared" si="177"/>
        <v>0</v>
      </c>
      <c r="AB206" s="89">
        <f t="shared" si="177"/>
        <v>0</v>
      </c>
      <c r="AC206" s="89">
        <f t="shared" si="177"/>
        <v>0</v>
      </c>
      <c r="AD206" s="89">
        <f t="shared" si="177"/>
        <v>0</v>
      </c>
      <c r="AE206" s="90">
        <f>SUM(S206:AD206)</f>
        <v>0</v>
      </c>
      <c r="AG206" s="6">
        <f>SUBTOTAL(9,AG207:AG231)</f>
        <v>0</v>
      </c>
      <c r="AH206" s="6" t="str">
        <f>Payroll!AG206&amp;" cleaner"&amp;IF(Payroll!AG206&gt;1,"s","")&amp;Payroll!AH207&amp;Payroll!AH215&amp;Payroll!AH223&amp;Payroll!AH231</f>
        <v>0 cleaner.</v>
      </c>
    </row>
    <row r="207" spans="1:52" hidden="1">
      <c r="A207" s="1" t="str">
        <f>A206</f>
        <v>Uncheck to Hide</v>
      </c>
      <c r="B207" s="92"/>
      <c r="C207" s="93"/>
      <c r="D207" s="93"/>
      <c r="E207" s="93"/>
      <c r="F207" s="93"/>
      <c r="G207" s="93"/>
      <c r="H207" s="93"/>
      <c r="I207" s="93"/>
      <c r="J207" s="93"/>
      <c r="K207" s="93"/>
      <c r="L207" s="93"/>
      <c r="M207" s="93"/>
      <c r="N207" s="93"/>
      <c r="O207" s="93"/>
      <c r="P207" s="93"/>
      <c r="Q207" s="93"/>
      <c r="R207" s="93"/>
      <c r="S207" s="94"/>
      <c r="T207" s="94"/>
      <c r="U207" s="94"/>
      <c r="V207" s="94"/>
      <c r="W207" s="94"/>
      <c r="X207" s="94"/>
      <c r="Y207" s="94"/>
      <c r="Z207" s="94"/>
      <c r="AA207" s="94"/>
      <c r="AB207" s="94"/>
      <c r="AC207" s="94"/>
      <c r="AD207" s="94"/>
      <c r="AE207" s="93"/>
      <c r="AG207" s="95">
        <f>IF(AE206=0,0,1)</f>
        <v>0</v>
      </c>
      <c r="AH207" s="6" t="str">
        <f>IF(AG207=0,"",IF(AG206&gt;1,", 1 at "," at ")&amp;"$"&amp;ROUND(M206,2)&amp;"/hour, working "&amp;N206&amp;" hours per week with"&amp;IF(E206&gt;0," housing","out housing"))</f>
        <v/>
      </c>
    </row>
    <row r="208" spans="1:52" s="58" customFormat="1" ht="12.75" hidden="1" customHeight="1">
      <c r="A208" s="96" t="s">
        <v>113</v>
      </c>
      <c r="B208" s="129"/>
      <c r="C208" s="130"/>
      <c r="D208" s="131"/>
      <c r="E208" s="131"/>
      <c r="F208" s="131"/>
      <c r="G208" s="132"/>
      <c r="H208" s="132"/>
      <c r="I208" s="132"/>
      <c r="J208" s="132"/>
      <c r="K208" s="132"/>
      <c r="L208" s="132"/>
      <c r="M208" s="133"/>
      <c r="N208" s="134"/>
      <c r="O208" s="134"/>
      <c r="P208" s="103">
        <f>+M206*N206*R206/AE$7</f>
        <v>0</v>
      </c>
      <c r="Q208" s="135"/>
      <c r="S208" s="106">
        <f t="shared" ref="S208:AD208" si="178">IF(S207&gt;0,S207-$P208*S$7,+S206-$P208*S$7)</f>
        <v>0</v>
      </c>
      <c r="T208" s="106">
        <f t="shared" si="178"/>
        <v>0</v>
      </c>
      <c r="U208" s="106">
        <f t="shared" si="178"/>
        <v>0</v>
      </c>
      <c r="V208" s="106">
        <f t="shared" si="178"/>
        <v>0</v>
      </c>
      <c r="W208" s="106">
        <f t="shared" si="178"/>
        <v>0</v>
      </c>
      <c r="X208" s="106">
        <f t="shared" si="178"/>
        <v>0</v>
      </c>
      <c r="Y208" s="106">
        <f t="shared" si="178"/>
        <v>0</v>
      </c>
      <c r="Z208" s="106">
        <f t="shared" si="178"/>
        <v>0</v>
      </c>
      <c r="AA208" s="106">
        <f t="shared" si="178"/>
        <v>0</v>
      </c>
      <c r="AB208" s="106">
        <f t="shared" si="178"/>
        <v>0</v>
      </c>
      <c r="AC208" s="106">
        <f t="shared" si="178"/>
        <v>0</v>
      </c>
      <c r="AD208" s="106">
        <f t="shared" si="178"/>
        <v>0</v>
      </c>
      <c r="AE208" s="136"/>
      <c r="AP208" s="108"/>
      <c r="AQ208" s="108"/>
      <c r="AR208" s="108"/>
      <c r="AS208" s="108"/>
    </row>
    <row r="209" spans="1:52" s="58" customFormat="1" ht="12.75" hidden="1" customHeight="1">
      <c r="A209" s="96" t="s">
        <v>113</v>
      </c>
      <c r="B209" s="129"/>
      <c r="C209" s="130"/>
      <c r="D209" s="131"/>
      <c r="E209" s="131"/>
      <c r="F209" s="131"/>
      <c r="G209" s="132"/>
      <c r="H209" s="132"/>
      <c r="I209" s="132"/>
      <c r="J209" s="132"/>
      <c r="K209" s="132"/>
      <c r="L209" s="132"/>
      <c r="M209" s="133"/>
      <c r="N209" s="134"/>
      <c r="O209" s="134"/>
      <c r="P209" s="131"/>
      <c r="Q209" s="135"/>
      <c r="R209" s="135"/>
      <c r="S209" s="137">
        <f>+S208</f>
        <v>0</v>
      </c>
      <c r="T209" s="137">
        <f t="shared" ref="T209:AD209" si="179">+T208+S209</f>
        <v>0</v>
      </c>
      <c r="U209" s="137">
        <f t="shared" si="179"/>
        <v>0</v>
      </c>
      <c r="V209" s="137">
        <f t="shared" si="179"/>
        <v>0</v>
      </c>
      <c r="W209" s="137">
        <f t="shared" si="179"/>
        <v>0</v>
      </c>
      <c r="X209" s="137">
        <f t="shared" si="179"/>
        <v>0</v>
      </c>
      <c r="Y209" s="137">
        <f t="shared" si="179"/>
        <v>0</v>
      </c>
      <c r="Z209" s="137">
        <f t="shared" si="179"/>
        <v>0</v>
      </c>
      <c r="AA209" s="137">
        <f t="shared" si="179"/>
        <v>0</v>
      </c>
      <c r="AB209" s="137">
        <f t="shared" si="179"/>
        <v>0</v>
      </c>
      <c r="AC209" s="137">
        <f t="shared" si="179"/>
        <v>0</v>
      </c>
      <c r="AD209" s="137">
        <f t="shared" si="179"/>
        <v>0</v>
      </c>
      <c r="AE209" s="136"/>
      <c r="AP209" s="108"/>
      <c r="AQ209" s="108"/>
      <c r="AR209" s="108"/>
      <c r="AS209" s="108"/>
    </row>
    <row r="210" spans="1:52" hidden="1">
      <c r="A210" s="1" t="str">
        <f>A207</f>
        <v>Uncheck to Hide</v>
      </c>
      <c r="B210" s="128"/>
      <c r="C210" s="112" t="s">
        <v>38</v>
      </c>
      <c r="D210" s="119"/>
      <c r="E210" s="120"/>
      <c r="F210" s="120"/>
      <c r="G210" s="120"/>
      <c r="H210" s="120"/>
      <c r="I210" s="120"/>
      <c r="J210" s="120"/>
      <c r="K210" s="120"/>
      <c r="L210" s="120"/>
      <c r="M210" s="120"/>
      <c r="N210" s="120"/>
      <c r="O210" s="120"/>
      <c r="P210" s="120"/>
      <c r="Q210" s="120"/>
      <c r="R210" s="120"/>
      <c r="S210" s="114">
        <f t="shared" ref="S210:AD210" si="180">IF($E$9="CA",IF(R209&lt;7000,$E$5*S208,($E$5-0.043)*S208),IF($E$9="IL",IF(R209&lt;12960,$E$5*S208,($E$5-0.04125)*S208),IF($E$9="PA",IF(R209&lt;10000,$E$5*S208,($E$5-0.071)*S208),IF($E$9="TX",IF(R209&lt;9000,$E$5*S208,($E$5-0.0363)*S208),$E$5*S208))))</f>
        <v>0</v>
      </c>
      <c r="T210" s="114">
        <f t="shared" si="180"/>
        <v>0</v>
      </c>
      <c r="U210" s="114">
        <f t="shared" si="180"/>
        <v>0</v>
      </c>
      <c r="V210" s="114">
        <f t="shared" si="180"/>
        <v>0</v>
      </c>
      <c r="W210" s="114">
        <f t="shared" si="180"/>
        <v>0</v>
      </c>
      <c r="X210" s="114">
        <f t="shared" si="180"/>
        <v>0</v>
      </c>
      <c r="Y210" s="114">
        <f t="shared" si="180"/>
        <v>0</v>
      </c>
      <c r="Z210" s="114">
        <f t="shared" si="180"/>
        <v>0</v>
      </c>
      <c r="AA210" s="114">
        <f t="shared" si="180"/>
        <v>0</v>
      </c>
      <c r="AB210" s="114">
        <f t="shared" si="180"/>
        <v>0</v>
      </c>
      <c r="AC210" s="114">
        <f t="shared" si="180"/>
        <v>0</v>
      </c>
      <c r="AD210" s="114">
        <f t="shared" si="180"/>
        <v>0</v>
      </c>
      <c r="AE210" s="115"/>
      <c r="AG210" s="69"/>
    </row>
    <row r="211" spans="1:52" hidden="1">
      <c r="A211" s="1" t="str">
        <f>A210</f>
        <v>Uncheck to Hide</v>
      </c>
      <c r="B211" s="128"/>
      <c r="C211" s="112" t="s">
        <v>114</v>
      </c>
      <c r="D211" s="119"/>
      <c r="E211" s="120"/>
      <c r="F211" s="120"/>
      <c r="G211" s="120"/>
      <c r="H211" s="120"/>
      <c r="I211" s="120"/>
      <c r="J211" s="120"/>
      <c r="K211" s="120"/>
      <c r="L211" s="120"/>
      <c r="M211" s="120"/>
      <c r="N211" s="120"/>
      <c r="O211" s="120"/>
      <c r="P211" s="120"/>
      <c r="Q211" s="120"/>
      <c r="R211" s="120"/>
      <c r="S211" s="117">
        <f t="shared" ref="S211:AD211" si="181">IF($E$9="WA",IF(S$1&lt;$G$6,$E$6*$N206*2*S$7+$CA$5*S208,$F$6*$N206*2*S$7+$CA$5*S208),IF($E$9="NV",IF(R209&gt;36000,0,IF(S$1&lt;$G$6,$E$6*S208,$F$6*S208)),IF(S$1&lt;$G$6,$E$6*S208,$F$6*S208)))</f>
        <v>0</v>
      </c>
      <c r="T211" s="117">
        <f t="shared" si="181"/>
        <v>0</v>
      </c>
      <c r="U211" s="117">
        <f t="shared" si="181"/>
        <v>0</v>
      </c>
      <c r="V211" s="117">
        <f t="shared" si="181"/>
        <v>0</v>
      </c>
      <c r="W211" s="117">
        <f t="shared" si="181"/>
        <v>0</v>
      </c>
      <c r="X211" s="117">
        <f t="shared" si="181"/>
        <v>0</v>
      </c>
      <c r="Y211" s="117">
        <f t="shared" si="181"/>
        <v>0</v>
      </c>
      <c r="Z211" s="117">
        <f t="shared" si="181"/>
        <v>0</v>
      </c>
      <c r="AA211" s="117">
        <f t="shared" si="181"/>
        <v>0</v>
      </c>
      <c r="AB211" s="117">
        <f t="shared" si="181"/>
        <v>0</v>
      </c>
      <c r="AC211" s="117">
        <f t="shared" si="181"/>
        <v>0</v>
      </c>
      <c r="AD211" s="117">
        <f t="shared" si="181"/>
        <v>0</v>
      </c>
      <c r="AE211" s="115"/>
    </row>
    <row r="212" spans="1:52" ht="13" hidden="1">
      <c r="A212" s="1" t="str">
        <f>A211</f>
        <v>Uncheck to Hide</v>
      </c>
      <c r="B212" s="111"/>
      <c r="C212" s="118" t="s">
        <v>86</v>
      </c>
      <c r="D212" s="113"/>
      <c r="E212" s="113"/>
      <c r="F212" s="113"/>
      <c r="G212" s="113"/>
      <c r="H212" s="113"/>
      <c r="I212" s="113"/>
      <c r="J212" s="113"/>
      <c r="K212" s="113"/>
      <c r="L212" s="113"/>
      <c r="M212" s="113"/>
      <c r="N212" s="113"/>
      <c r="O212" s="113"/>
      <c r="P212" s="113"/>
      <c r="Q212" s="113"/>
      <c r="R212" s="113"/>
      <c r="S212" s="117">
        <f t="shared" ref="S212:AD212" si="182">IF(S206=0,0,$H$11/26*S$7*IF(OR($G206=0,$G206=1),1,$G206))</f>
        <v>0</v>
      </c>
      <c r="T212" s="117">
        <f t="shared" si="182"/>
        <v>0</v>
      </c>
      <c r="U212" s="117">
        <f t="shared" si="182"/>
        <v>0</v>
      </c>
      <c r="V212" s="117">
        <f t="shared" si="182"/>
        <v>0</v>
      </c>
      <c r="W212" s="117">
        <f t="shared" si="182"/>
        <v>0</v>
      </c>
      <c r="X212" s="117">
        <f t="shared" si="182"/>
        <v>0</v>
      </c>
      <c r="Y212" s="117">
        <f t="shared" si="182"/>
        <v>0</v>
      </c>
      <c r="Z212" s="117">
        <f t="shared" si="182"/>
        <v>0</v>
      </c>
      <c r="AA212" s="117">
        <f t="shared" si="182"/>
        <v>0</v>
      </c>
      <c r="AB212" s="117">
        <f t="shared" si="182"/>
        <v>0</v>
      </c>
      <c r="AC212" s="117">
        <f t="shared" si="182"/>
        <v>0</v>
      </c>
      <c r="AD212" s="117">
        <f t="shared" si="182"/>
        <v>0</v>
      </c>
      <c r="AE212" s="115"/>
      <c r="AZ212" s="20"/>
    </row>
    <row r="213" spans="1:52" hidden="1">
      <c r="A213" s="1" t="str">
        <f>A211</f>
        <v>Uncheck to Hide</v>
      </c>
      <c r="B213" s="128"/>
      <c r="C213" s="118" t="str">
        <f>IF($E$9="CA","",$C$269)</f>
        <v>HEALTH INS. &amp; EMPL. BENEFITS</v>
      </c>
      <c r="D213" s="119"/>
      <c r="E213" s="120"/>
      <c r="F213" s="120"/>
      <c r="G213" s="120"/>
      <c r="H213" s="120"/>
      <c r="I213" s="120"/>
      <c r="J213" s="120"/>
      <c r="K213" s="120"/>
      <c r="L213" s="120"/>
      <c r="M213" s="120"/>
      <c r="N213" s="120"/>
      <c r="O213" s="120"/>
      <c r="P213" s="120"/>
      <c r="Q213" s="120"/>
      <c r="R213" s="120"/>
      <c r="S213" s="121">
        <f t="shared" ref="S213:AD213" si="183">IF(OR($E$9="CA",$E$9="CO",$E$9="OR",$E$9="WA"),0,IF($G206=0,0,$G206*$E$7*S$8/2+S208*$CC$6))</f>
        <v>0</v>
      </c>
      <c r="T213" s="121">
        <f t="shared" si="183"/>
        <v>0</v>
      </c>
      <c r="U213" s="121">
        <f t="shared" si="183"/>
        <v>0</v>
      </c>
      <c r="V213" s="121">
        <f t="shared" si="183"/>
        <v>0</v>
      </c>
      <c r="W213" s="121">
        <f t="shared" si="183"/>
        <v>0</v>
      </c>
      <c r="X213" s="121">
        <f t="shared" si="183"/>
        <v>0</v>
      </c>
      <c r="Y213" s="121">
        <f t="shared" si="183"/>
        <v>0</v>
      </c>
      <c r="Z213" s="121">
        <f t="shared" si="183"/>
        <v>0</v>
      </c>
      <c r="AA213" s="121">
        <f t="shared" si="183"/>
        <v>0</v>
      </c>
      <c r="AB213" s="121">
        <f t="shared" si="183"/>
        <v>0</v>
      </c>
      <c r="AC213" s="121">
        <f t="shared" si="183"/>
        <v>0</v>
      </c>
      <c r="AD213" s="121">
        <f t="shared" si="183"/>
        <v>0</v>
      </c>
      <c r="AE213" s="115"/>
    </row>
    <row r="214" spans="1:52" hidden="1">
      <c r="A214" s="1" t="str">
        <f>IF(F214+G214+H214+M214=0,"Uncheck to Hide","")</f>
        <v>Uncheck to Hide</v>
      </c>
      <c r="B214" s="74" t="str">
        <f>B206</f>
        <v>6510-000  CLEANING PAYROLL</v>
      </c>
      <c r="C214" s="75" t="s">
        <v>152</v>
      </c>
      <c r="D214" s="76"/>
      <c r="E214" s="77"/>
      <c r="F214" s="78"/>
      <c r="G214" s="125"/>
      <c r="H214" s="80"/>
      <c r="I214" s="80">
        <v>15</v>
      </c>
      <c r="J214" s="81"/>
      <c r="K214" s="82"/>
      <c r="L214" s="83"/>
      <c r="M214" s="84">
        <f>ROUND(K214*(1+L214),2)</f>
        <v>0</v>
      </c>
      <c r="N214" s="85"/>
      <c r="O214" s="85"/>
      <c r="P214" s="86">
        <f>IF(SUM(S215:AD215)&gt;0,1,0)</f>
        <v>0</v>
      </c>
      <c r="Q214" s="87">
        <f>M214*N214*52</f>
        <v>0</v>
      </c>
      <c r="R214" s="88"/>
      <c r="S214" s="89">
        <f t="shared" ref="S214:AD214" si="184">IF(S215="",$M214*$N214*2*S$7+$P216*S$7+$O214*$M214*1.5*2*S$7+IF($O$10="Y",(SUMIF($CS$3:$DT$3,S$1,$CS$8:$DT$8)-SUMIF($CS$3:$DT$3,R$1,$CS$8:$DT$8))*($M214*$N214*2*S$7+$P216*S$7+$O214*$M214*1.5*2*S$7)/(S$7*14),0)+IF($O$11="Y",(SUMIF($CS$3:$DT$3,S$1,$CS$8:$DT$8)*CU$11-SUMIF($CS$3:$DT$3,R$1,$CS$8:$DT$8)*CT$11)*($M214*$N214*2*S$7+$P216*S$7+$O214*$M214*1.5*2*S$7)/(S$7*14),0),S215)</f>
        <v>0</v>
      </c>
      <c r="T214" s="89">
        <f t="shared" si="184"/>
        <v>0</v>
      </c>
      <c r="U214" s="89">
        <f t="shared" si="184"/>
        <v>0</v>
      </c>
      <c r="V214" s="89">
        <f t="shared" si="184"/>
        <v>0</v>
      </c>
      <c r="W214" s="89">
        <f t="shared" si="184"/>
        <v>0</v>
      </c>
      <c r="X214" s="89">
        <f t="shared" si="184"/>
        <v>0</v>
      </c>
      <c r="Y214" s="89">
        <f t="shared" si="184"/>
        <v>0</v>
      </c>
      <c r="Z214" s="89">
        <f t="shared" si="184"/>
        <v>0</v>
      </c>
      <c r="AA214" s="89">
        <f t="shared" si="184"/>
        <v>0</v>
      </c>
      <c r="AB214" s="89">
        <f t="shared" si="184"/>
        <v>0</v>
      </c>
      <c r="AC214" s="89">
        <f t="shared" si="184"/>
        <v>0</v>
      </c>
      <c r="AD214" s="89">
        <f t="shared" si="184"/>
        <v>0</v>
      </c>
      <c r="AE214" s="90">
        <f>SUM(S214:AD214)</f>
        <v>0</v>
      </c>
    </row>
    <row r="215" spans="1:52" hidden="1">
      <c r="A215" s="1" t="str">
        <f>A214</f>
        <v>Uncheck to Hide</v>
      </c>
      <c r="B215" s="92"/>
      <c r="C215" s="93"/>
      <c r="D215" s="93"/>
      <c r="E215" s="93"/>
      <c r="F215" s="93"/>
      <c r="G215" s="93"/>
      <c r="H215" s="93"/>
      <c r="I215" s="93"/>
      <c r="J215" s="93"/>
      <c r="K215" s="93"/>
      <c r="L215" s="93"/>
      <c r="M215" s="93"/>
      <c r="N215" s="93"/>
      <c r="O215" s="93"/>
      <c r="P215" s="93"/>
      <c r="Q215" s="93"/>
      <c r="R215" s="93"/>
      <c r="S215" s="94"/>
      <c r="T215" s="94"/>
      <c r="U215" s="94"/>
      <c r="V215" s="94"/>
      <c r="W215" s="94"/>
      <c r="X215" s="94"/>
      <c r="Y215" s="94"/>
      <c r="Z215" s="94"/>
      <c r="AA215" s="94"/>
      <c r="AB215" s="94"/>
      <c r="AC215" s="94"/>
      <c r="AD215" s="94"/>
      <c r="AE215" s="93"/>
      <c r="AG215" s="95">
        <f>IF(AE214=0,0,1)</f>
        <v>0</v>
      </c>
      <c r="AH215" s="6" t="str">
        <f>IF(AG215=0,"",IF(AG206&gt;1,", 1 at "," at ")&amp;"$"&amp;ROUND(M214,2)&amp;"/hour, working "&amp;N214&amp;" hours per week with"&amp;IF(E214&gt;0," housing","out housing"))</f>
        <v/>
      </c>
    </row>
    <row r="216" spans="1:52" s="58" customFormat="1" ht="12.75" hidden="1" customHeight="1">
      <c r="A216" s="96" t="s">
        <v>113</v>
      </c>
      <c r="B216" s="129"/>
      <c r="C216" s="130"/>
      <c r="D216" s="131"/>
      <c r="E216" s="131"/>
      <c r="F216" s="131"/>
      <c r="G216" s="132"/>
      <c r="H216" s="132"/>
      <c r="I216" s="132"/>
      <c r="J216" s="132"/>
      <c r="K216" s="132"/>
      <c r="L216" s="132"/>
      <c r="M216" s="133"/>
      <c r="N216" s="134"/>
      <c r="O216" s="134"/>
      <c r="P216" s="103">
        <f>+M214*N214*R214/AE$7</f>
        <v>0</v>
      </c>
      <c r="Q216" s="135"/>
      <c r="S216" s="106">
        <f t="shared" ref="S216:AD216" si="185">IF(S215&gt;0,S215-$P216*S$7,+S214-$P216*S$7)</f>
        <v>0</v>
      </c>
      <c r="T216" s="106">
        <f t="shared" si="185"/>
        <v>0</v>
      </c>
      <c r="U216" s="106">
        <f t="shared" si="185"/>
        <v>0</v>
      </c>
      <c r="V216" s="106">
        <f t="shared" si="185"/>
        <v>0</v>
      </c>
      <c r="W216" s="106">
        <f t="shared" si="185"/>
        <v>0</v>
      </c>
      <c r="X216" s="106">
        <f t="shared" si="185"/>
        <v>0</v>
      </c>
      <c r="Y216" s="106">
        <f t="shared" si="185"/>
        <v>0</v>
      </c>
      <c r="Z216" s="106">
        <f t="shared" si="185"/>
        <v>0</v>
      </c>
      <c r="AA216" s="106">
        <f t="shared" si="185"/>
        <v>0</v>
      </c>
      <c r="AB216" s="106">
        <f t="shared" si="185"/>
        <v>0</v>
      </c>
      <c r="AC216" s="106">
        <f t="shared" si="185"/>
        <v>0</v>
      </c>
      <c r="AD216" s="106">
        <f t="shared" si="185"/>
        <v>0</v>
      </c>
      <c r="AE216" s="136"/>
      <c r="AP216" s="108"/>
      <c r="AQ216" s="108"/>
      <c r="AR216" s="108"/>
      <c r="AS216" s="108"/>
    </row>
    <row r="217" spans="1:52" s="58" customFormat="1" ht="12.75" hidden="1" customHeight="1">
      <c r="A217" s="96" t="s">
        <v>113</v>
      </c>
      <c r="B217" s="129"/>
      <c r="C217" s="130"/>
      <c r="D217" s="131"/>
      <c r="E217" s="131"/>
      <c r="F217" s="131"/>
      <c r="G217" s="132"/>
      <c r="H217" s="132"/>
      <c r="I217" s="132"/>
      <c r="J217" s="132"/>
      <c r="K217" s="132"/>
      <c r="L217" s="132"/>
      <c r="M217" s="133"/>
      <c r="N217" s="134"/>
      <c r="O217" s="134"/>
      <c r="P217" s="131"/>
      <c r="Q217" s="135"/>
      <c r="R217" s="135"/>
      <c r="S217" s="137">
        <f>+S216</f>
        <v>0</v>
      </c>
      <c r="T217" s="137">
        <f t="shared" ref="T217:AD217" si="186">+T216+S217</f>
        <v>0</v>
      </c>
      <c r="U217" s="137">
        <f t="shared" si="186"/>
        <v>0</v>
      </c>
      <c r="V217" s="137">
        <f t="shared" si="186"/>
        <v>0</v>
      </c>
      <c r="W217" s="137">
        <f t="shared" si="186"/>
        <v>0</v>
      </c>
      <c r="X217" s="137">
        <f t="shared" si="186"/>
        <v>0</v>
      </c>
      <c r="Y217" s="137">
        <f t="shared" si="186"/>
        <v>0</v>
      </c>
      <c r="Z217" s="137">
        <f t="shared" si="186"/>
        <v>0</v>
      </c>
      <c r="AA217" s="137">
        <f t="shared" si="186"/>
        <v>0</v>
      </c>
      <c r="AB217" s="137">
        <f t="shared" si="186"/>
        <v>0</v>
      </c>
      <c r="AC217" s="137">
        <f t="shared" si="186"/>
        <v>0</v>
      </c>
      <c r="AD217" s="137">
        <f t="shared" si="186"/>
        <v>0</v>
      </c>
      <c r="AE217" s="136"/>
      <c r="AP217" s="108"/>
      <c r="AQ217" s="108"/>
      <c r="AR217" s="108"/>
      <c r="AS217" s="108"/>
    </row>
    <row r="218" spans="1:52" hidden="1">
      <c r="A218" s="1" t="str">
        <f>A215</f>
        <v>Uncheck to Hide</v>
      </c>
      <c r="B218" s="128"/>
      <c r="C218" s="112" t="s">
        <v>38</v>
      </c>
      <c r="D218" s="119"/>
      <c r="E218" s="120"/>
      <c r="F218" s="120"/>
      <c r="G218" s="120"/>
      <c r="H218" s="120"/>
      <c r="I218" s="120"/>
      <c r="J218" s="120"/>
      <c r="K218" s="120"/>
      <c r="L218" s="120"/>
      <c r="M218" s="120"/>
      <c r="N218" s="120"/>
      <c r="O218" s="120"/>
      <c r="P218" s="120"/>
      <c r="Q218" s="120"/>
      <c r="R218" s="120"/>
      <c r="S218" s="114">
        <f t="shared" ref="S218:AD218" si="187">IF($E$9="CA",IF(R217&lt;7000,$E$5*S216,($E$5-0.043)*S216),IF($E$9="IL",IF(R217&lt;12960,$E$5*S216,($E$5-0.04125)*S216),IF($E$9="PA",IF(R217&lt;10000,$E$5*S216,($E$5-0.071)*S216),IF($E$9="TX",IF(R217&lt;9000,$E$5*S216,($E$5-0.0363)*S216),$E$5*S216))))</f>
        <v>0</v>
      </c>
      <c r="T218" s="114">
        <f t="shared" si="187"/>
        <v>0</v>
      </c>
      <c r="U218" s="114">
        <f t="shared" si="187"/>
        <v>0</v>
      </c>
      <c r="V218" s="114">
        <f t="shared" si="187"/>
        <v>0</v>
      </c>
      <c r="W218" s="114">
        <f t="shared" si="187"/>
        <v>0</v>
      </c>
      <c r="X218" s="114">
        <f t="shared" si="187"/>
        <v>0</v>
      </c>
      <c r="Y218" s="114">
        <f t="shared" si="187"/>
        <v>0</v>
      </c>
      <c r="Z218" s="114">
        <f t="shared" si="187"/>
        <v>0</v>
      </c>
      <c r="AA218" s="114">
        <f t="shared" si="187"/>
        <v>0</v>
      </c>
      <c r="AB218" s="114">
        <f t="shared" si="187"/>
        <v>0</v>
      </c>
      <c r="AC218" s="114">
        <f t="shared" si="187"/>
        <v>0</v>
      </c>
      <c r="AD218" s="114">
        <f t="shared" si="187"/>
        <v>0</v>
      </c>
      <c r="AE218" s="115"/>
    </row>
    <row r="219" spans="1:52" hidden="1">
      <c r="A219" s="1" t="str">
        <f>A218</f>
        <v>Uncheck to Hide</v>
      </c>
      <c r="B219" s="128"/>
      <c r="C219" s="112" t="s">
        <v>114</v>
      </c>
      <c r="D219" s="119"/>
      <c r="E219" s="120"/>
      <c r="F219" s="120"/>
      <c r="G219" s="120"/>
      <c r="H219" s="120"/>
      <c r="I219" s="120"/>
      <c r="J219" s="120"/>
      <c r="K219" s="120"/>
      <c r="L219" s="120"/>
      <c r="M219" s="120"/>
      <c r="N219" s="120"/>
      <c r="O219" s="120"/>
      <c r="P219" s="120"/>
      <c r="Q219" s="120"/>
      <c r="R219" s="120"/>
      <c r="S219" s="117">
        <f t="shared" ref="S219:AD219" si="188">IF($E$9="WA",IF(S$1&lt;$G$6,$E$6*$N214*2*S$7+$CA$5*S216,$F$6*$N214*2*S$7+$CA$5*S216),IF($E$9="NV",IF(R217&gt;36000,0,IF(S$1&lt;$G$6,$E$6*S216,$F$6*S216)),IF(S$1&lt;$G$6,$E$6*S216,$F$6*S216)))</f>
        <v>0</v>
      </c>
      <c r="T219" s="117">
        <f t="shared" si="188"/>
        <v>0</v>
      </c>
      <c r="U219" s="117">
        <f t="shared" si="188"/>
        <v>0</v>
      </c>
      <c r="V219" s="117">
        <f t="shared" si="188"/>
        <v>0</v>
      </c>
      <c r="W219" s="117">
        <f t="shared" si="188"/>
        <v>0</v>
      </c>
      <c r="X219" s="117">
        <f t="shared" si="188"/>
        <v>0</v>
      </c>
      <c r="Y219" s="117">
        <f t="shared" si="188"/>
        <v>0</v>
      </c>
      <c r="Z219" s="117">
        <f t="shared" si="188"/>
        <v>0</v>
      </c>
      <c r="AA219" s="117">
        <f t="shared" si="188"/>
        <v>0</v>
      </c>
      <c r="AB219" s="117">
        <f t="shared" si="188"/>
        <v>0</v>
      </c>
      <c r="AC219" s="117">
        <f t="shared" si="188"/>
        <v>0</v>
      </c>
      <c r="AD219" s="117">
        <f t="shared" si="188"/>
        <v>0</v>
      </c>
      <c r="AE219" s="115"/>
    </row>
    <row r="220" spans="1:52" ht="13" hidden="1">
      <c r="A220" s="1" t="str">
        <f>A219</f>
        <v>Uncheck to Hide</v>
      </c>
      <c r="B220" s="111"/>
      <c r="C220" s="118" t="s">
        <v>86</v>
      </c>
      <c r="D220" s="113"/>
      <c r="E220" s="113"/>
      <c r="F220" s="113"/>
      <c r="G220" s="113"/>
      <c r="H220" s="113"/>
      <c r="I220" s="113"/>
      <c r="J220" s="113"/>
      <c r="K220" s="113"/>
      <c r="L220" s="113"/>
      <c r="M220" s="113"/>
      <c r="N220" s="113"/>
      <c r="O220" s="113"/>
      <c r="P220" s="113"/>
      <c r="Q220" s="113"/>
      <c r="R220" s="113"/>
      <c r="S220" s="117">
        <f t="shared" ref="S220:AD220" si="189">IF(S214=0,0,$H$11/26*S$7*IF(OR($G214=0,$G214=1),1,$G214))</f>
        <v>0</v>
      </c>
      <c r="T220" s="117">
        <f t="shared" si="189"/>
        <v>0</v>
      </c>
      <c r="U220" s="117">
        <f t="shared" si="189"/>
        <v>0</v>
      </c>
      <c r="V220" s="117">
        <f t="shared" si="189"/>
        <v>0</v>
      </c>
      <c r="W220" s="117">
        <f t="shared" si="189"/>
        <v>0</v>
      </c>
      <c r="X220" s="117">
        <f t="shared" si="189"/>
        <v>0</v>
      </c>
      <c r="Y220" s="117">
        <f t="shared" si="189"/>
        <v>0</v>
      </c>
      <c r="Z220" s="117">
        <f t="shared" si="189"/>
        <v>0</v>
      </c>
      <c r="AA220" s="117">
        <f t="shared" si="189"/>
        <v>0</v>
      </c>
      <c r="AB220" s="117">
        <f t="shared" si="189"/>
        <v>0</v>
      </c>
      <c r="AC220" s="117">
        <f t="shared" si="189"/>
        <v>0</v>
      </c>
      <c r="AD220" s="117">
        <f t="shared" si="189"/>
        <v>0</v>
      </c>
      <c r="AE220" s="115"/>
      <c r="AZ220" s="20"/>
    </row>
    <row r="221" spans="1:52" hidden="1">
      <c r="A221" s="1" t="str">
        <f>A219</f>
        <v>Uncheck to Hide</v>
      </c>
      <c r="B221" s="128"/>
      <c r="C221" s="118" t="str">
        <f>IF($E$9="CA","",$C$269)</f>
        <v>HEALTH INS. &amp; EMPL. BENEFITS</v>
      </c>
      <c r="D221" s="119"/>
      <c r="E221" s="120"/>
      <c r="F221" s="120"/>
      <c r="G221" s="120"/>
      <c r="H221" s="120"/>
      <c r="I221" s="120"/>
      <c r="J221" s="120"/>
      <c r="K221" s="120"/>
      <c r="L221" s="120"/>
      <c r="M221" s="120"/>
      <c r="N221" s="120"/>
      <c r="O221" s="120"/>
      <c r="P221" s="120"/>
      <c r="Q221" s="120"/>
      <c r="R221" s="120"/>
      <c r="S221" s="121">
        <f t="shared" ref="S221:AD221" si="190">IF(OR($E$9="CA",$E$9="CO",$E$9="OR",$E$9="WA"),0,IF($G214=0,0,$G214*$E$7*S$8/2+S216*$CC$6))</f>
        <v>0</v>
      </c>
      <c r="T221" s="121">
        <f t="shared" si="190"/>
        <v>0</v>
      </c>
      <c r="U221" s="121">
        <f t="shared" si="190"/>
        <v>0</v>
      </c>
      <c r="V221" s="121">
        <f t="shared" si="190"/>
        <v>0</v>
      </c>
      <c r="W221" s="121">
        <f t="shared" si="190"/>
        <v>0</v>
      </c>
      <c r="X221" s="121">
        <f t="shared" si="190"/>
        <v>0</v>
      </c>
      <c r="Y221" s="121">
        <f t="shared" si="190"/>
        <v>0</v>
      </c>
      <c r="Z221" s="121">
        <f t="shared" si="190"/>
        <v>0</v>
      </c>
      <c r="AA221" s="121">
        <f t="shared" si="190"/>
        <v>0</v>
      </c>
      <c r="AB221" s="121">
        <f t="shared" si="190"/>
        <v>0</v>
      </c>
      <c r="AC221" s="121">
        <f t="shared" si="190"/>
        <v>0</v>
      </c>
      <c r="AD221" s="121">
        <f t="shared" si="190"/>
        <v>0</v>
      </c>
      <c r="AE221" s="115"/>
    </row>
    <row r="222" spans="1:52" hidden="1">
      <c r="A222" s="1" t="str">
        <f>IF(F222+G222+H222+M222=0,"Uncheck to Hide","")</f>
        <v>Uncheck to Hide</v>
      </c>
      <c r="B222" s="74" t="str">
        <f>B214</f>
        <v>6510-000  CLEANING PAYROLL</v>
      </c>
      <c r="C222" s="75" t="s">
        <v>153</v>
      </c>
      <c r="D222" s="76"/>
      <c r="E222" s="77"/>
      <c r="F222" s="78"/>
      <c r="G222" s="125"/>
      <c r="H222" s="80"/>
      <c r="I222" s="80">
        <v>15</v>
      </c>
      <c r="J222" s="81"/>
      <c r="K222" s="82"/>
      <c r="L222" s="83"/>
      <c r="M222" s="84">
        <f>ROUND(K222*(1+L222),2)</f>
        <v>0</v>
      </c>
      <c r="N222" s="85"/>
      <c r="O222" s="85"/>
      <c r="P222" s="86">
        <f>IF(SUM(S223:AD223)&gt;0,1,0)</f>
        <v>0</v>
      </c>
      <c r="Q222" s="87">
        <f>M222*N222*52</f>
        <v>0</v>
      </c>
      <c r="R222" s="88"/>
      <c r="S222" s="89">
        <f t="shared" ref="S222:AD222" si="191">IF(S223="",$M222*$N222*2*S$7+$P224*S$7+$O222*$M222*1.5*2*S$7+IF($O$10="Y",(SUMIF($CS$3:$DT$3,S$1,$CS$8:$DT$8)-SUMIF($CS$3:$DT$3,R$1,$CS$8:$DT$8))*($M222*$N222*2*S$7+$P224*S$7+$O222*$M222*1.5*2*S$7)/(S$7*14),0)+IF($O$11="Y",(SUMIF($CS$3:$DT$3,S$1,$CS$8:$DT$8)*CU$11-SUMIF($CS$3:$DT$3,R$1,$CS$8:$DT$8)*CT$11)*($M222*$N222*2*S$7+$P224*S$7+$O222*$M222*1.5*2*S$7)/(S$7*14),0),S223)</f>
        <v>0</v>
      </c>
      <c r="T222" s="89">
        <f t="shared" si="191"/>
        <v>0</v>
      </c>
      <c r="U222" s="89">
        <f t="shared" si="191"/>
        <v>0</v>
      </c>
      <c r="V222" s="89">
        <f t="shared" si="191"/>
        <v>0</v>
      </c>
      <c r="W222" s="89">
        <f t="shared" si="191"/>
        <v>0</v>
      </c>
      <c r="X222" s="89">
        <f t="shared" si="191"/>
        <v>0</v>
      </c>
      <c r="Y222" s="89">
        <f t="shared" si="191"/>
        <v>0</v>
      </c>
      <c r="Z222" s="89">
        <f t="shared" si="191"/>
        <v>0</v>
      </c>
      <c r="AA222" s="89">
        <f t="shared" si="191"/>
        <v>0</v>
      </c>
      <c r="AB222" s="89">
        <f t="shared" si="191"/>
        <v>0</v>
      </c>
      <c r="AC222" s="89">
        <f t="shared" si="191"/>
        <v>0</v>
      </c>
      <c r="AD222" s="89">
        <f t="shared" si="191"/>
        <v>0</v>
      </c>
      <c r="AE222" s="90">
        <f>SUM(S222:AD222)</f>
        <v>0</v>
      </c>
    </row>
    <row r="223" spans="1:52" hidden="1">
      <c r="A223" s="1" t="str">
        <f>A222</f>
        <v>Uncheck to Hide</v>
      </c>
      <c r="B223" s="92"/>
      <c r="C223" s="93"/>
      <c r="D223" s="93"/>
      <c r="E223" s="93"/>
      <c r="F223" s="93"/>
      <c r="G223" s="93"/>
      <c r="H223" s="93"/>
      <c r="I223" s="93"/>
      <c r="J223" s="93"/>
      <c r="K223" s="93"/>
      <c r="L223" s="93"/>
      <c r="M223" s="93"/>
      <c r="N223" s="93"/>
      <c r="O223" s="93"/>
      <c r="P223" s="93"/>
      <c r="Q223" s="93"/>
      <c r="R223" s="93"/>
      <c r="S223" s="94"/>
      <c r="T223" s="94"/>
      <c r="U223" s="94"/>
      <c r="V223" s="94"/>
      <c r="W223" s="94"/>
      <c r="X223" s="94"/>
      <c r="Y223" s="94"/>
      <c r="Z223" s="94"/>
      <c r="AA223" s="94"/>
      <c r="AB223" s="94"/>
      <c r="AC223" s="94"/>
      <c r="AD223" s="94"/>
      <c r="AE223" s="93"/>
      <c r="AG223" s="95">
        <f>IF(AE222=0,0,1)</f>
        <v>0</v>
      </c>
      <c r="AH223" s="6" t="str">
        <f>IF(AG223=0,"",IF(AG206&gt;1,", 1 at "," at ")&amp;"$"&amp;ROUND(M222,2)&amp;"/hour, working "&amp;N222&amp;" hours per week with"&amp;IF(E222&gt;0," housing","out housing"))</f>
        <v/>
      </c>
    </row>
    <row r="224" spans="1:52" s="58" customFormat="1" ht="12.75" hidden="1" customHeight="1">
      <c r="A224" s="96" t="s">
        <v>113</v>
      </c>
      <c r="B224" s="129"/>
      <c r="C224" s="130"/>
      <c r="D224" s="131"/>
      <c r="E224" s="131"/>
      <c r="F224" s="131"/>
      <c r="G224" s="132"/>
      <c r="H224" s="132"/>
      <c r="I224" s="132"/>
      <c r="J224" s="132"/>
      <c r="K224" s="132"/>
      <c r="L224" s="132"/>
      <c r="M224" s="133"/>
      <c r="N224" s="134"/>
      <c r="O224" s="134"/>
      <c r="P224" s="103">
        <f>+M222*N222*R222/AE$7</f>
        <v>0</v>
      </c>
      <c r="Q224" s="135"/>
      <c r="S224" s="106">
        <f t="shared" ref="S224:AD224" si="192">IF(S223&gt;0,S223-$P224*S$7,+S222-$P224*S$7)</f>
        <v>0</v>
      </c>
      <c r="T224" s="106">
        <f t="shared" si="192"/>
        <v>0</v>
      </c>
      <c r="U224" s="106">
        <f t="shared" si="192"/>
        <v>0</v>
      </c>
      <c r="V224" s="106">
        <f t="shared" si="192"/>
        <v>0</v>
      </c>
      <c r="W224" s="106">
        <f t="shared" si="192"/>
        <v>0</v>
      </c>
      <c r="X224" s="106">
        <f t="shared" si="192"/>
        <v>0</v>
      </c>
      <c r="Y224" s="106">
        <f t="shared" si="192"/>
        <v>0</v>
      </c>
      <c r="Z224" s="106">
        <f t="shared" si="192"/>
        <v>0</v>
      </c>
      <c r="AA224" s="106">
        <f t="shared" si="192"/>
        <v>0</v>
      </c>
      <c r="AB224" s="106">
        <f t="shared" si="192"/>
        <v>0</v>
      </c>
      <c r="AC224" s="106">
        <f t="shared" si="192"/>
        <v>0</v>
      </c>
      <c r="AD224" s="106">
        <f t="shared" si="192"/>
        <v>0</v>
      </c>
      <c r="AE224" s="136"/>
      <c r="AP224" s="108"/>
      <c r="AQ224" s="108"/>
      <c r="AR224" s="108"/>
      <c r="AS224" s="108"/>
    </row>
    <row r="225" spans="1:52" s="58" customFormat="1" ht="12.75" hidden="1" customHeight="1">
      <c r="A225" s="96" t="s">
        <v>113</v>
      </c>
      <c r="B225" s="129"/>
      <c r="C225" s="130"/>
      <c r="D225" s="131"/>
      <c r="E225" s="131"/>
      <c r="F225" s="131"/>
      <c r="G225" s="132"/>
      <c r="H225" s="132"/>
      <c r="I225" s="132"/>
      <c r="J225" s="132"/>
      <c r="K225" s="132"/>
      <c r="L225" s="132"/>
      <c r="M225" s="133"/>
      <c r="N225" s="134"/>
      <c r="O225" s="134"/>
      <c r="P225" s="131"/>
      <c r="Q225" s="135"/>
      <c r="R225" s="135"/>
      <c r="S225" s="137">
        <f>+S224</f>
        <v>0</v>
      </c>
      <c r="T225" s="137">
        <f t="shared" ref="T225:AD225" si="193">+T224+S225</f>
        <v>0</v>
      </c>
      <c r="U225" s="137">
        <f t="shared" si="193"/>
        <v>0</v>
      </c>
      <c r="V225" s="137">
        <f t="shared" si="193"/>
        <v>0</v>
      </c>
      <c r="W225" s="137">
        <f t="shared" si="193"/>
        <v>0</v>
      </c>
      <c r="X225" s="137">
        <f t="shared" si="193"/>
        <v>0</v>
      </c>
      <c r="Y225" s="137">
        <f t="shared" si="193"/>
        <v>0</v>
      </c>
      <c r="Z225" s="137">
        <f t="shared" si="193"/>
        <v>0</v>
      </c>
      <c r="AA225" s="137">
        <f t="shared" si="193"/>
        <v>0</v>
      </c>
      <c r="AB225" s="137">
        <f t="shared" si="193"/>
        <v>0</v>
      </c>
      <c r="AC225" s="137">
        <f t="shared" si="193"/>
        <v>0</v>
      </c>
      <c r="AD225" s="137">
        <f t="shared" si="193"/>
        <v>0</v>
      </c>
      <c r="AE225" s="136"/>
      <c r="AP225" s="108"/>
      <c r="AQ225" s="108"/>
      <c r="AR225" s="108"/>
      <c r="AS225" s="108"/>
    </row>
    <row r="226" spans="1:52" hidden="1">
      <c r="A226" s="1" t="str">
        <f>A223</f>
        <v>Uncheck to Hide</v>
      </c>
      <c r="B226" s="128"/>
      <c r="C226" s="112" t="s">
        <v>38</v>
      </c>
      <c r="D226" s="119"/>
      <c r="E226" s="120"/>
      <c r="F226" s="120"/>
      <c r="G226" s="120"/>
      <c r="H226" s="120"/>
      <c r="I226" s="120"/>
      <c r="J226" s="120"/>
      <c r="K226" s="120"/>
      <c r="L226" s="120"/>
      <c r="M226" s="120"/>
      <c r="N226" s="120"/>
      <c r="O226" s="120"/>
      <c r="P226" s="120"/>
      <c r="Q226" s="120"/>
      <c r="R226" s="120"/>
      <c r="S226" s="114">
        <f t="shared" ref="S226:AD226" si="194">IF($E$9="CA",IF(R225&lt;7000,$E$5*S224,($E$5-0.043)*S224),IF($E$9="IL",IF(R225&lt;12960,$E$5*S224,($E$5-0.04125)*S224),IF($E$9="PA",IF(R225&lt;10000,$E$5*S224,($E$5-0.071)*S224),IF($E$9="TX",IF(R225&lt;9000,$E$5*S224,($E$5-0.0363)*S224),$E$5*S224))))</f>
        <v>0</v>
      </c>
      <c r="T226" s="114">
        <f t="shared" si="194"/>
        <v>0</v>
      </c>
      <c r="U226" s="114">
        <f t="shared" si="194"/>
        <v>0</v>
      </c>
      <c r="V226" s="114">
        <f t="shared" si="194"/>
        <v>0</v>
      </c>
      <c r="W226" s="114">
        <f t="shared" si="194"/>
        <v>0</v>
      </c>
      <c r="X226" s="114">
        <f t="shared" si="194"/>
        <v>0</v>
      </c>
      <c r="Y226" s="114">
        <f t="shared" si="194"/>
        <v>0</v>
      </c>
      <c r="Z226" s="114">
        <f t="shared" si="194"/>
        <v>0</v>
      </c>
      <c r="AA226" s="114">
        <f t="shared" si="194"/>
        <v>0</v>
      </c>
      <c r="AB226" s="114">
        <f t="shared" si="194"/>
        <v>0</v>
      </c>
      <c r="AC226" s="114">
        <f t="shared" si="194"/>
        <v>0</v>
      </c>
      <c r="AD226" s="114">
        <f t="shared" si="194"/>
        <v>0</v>
      </c>
      <c r="AE226" s="115"/>
    </row>
    <row r="227" spans="1:52" hidden="1">
      <c r="A227" s="1" t="str">
        <f>A226</f>
        <v>Uncheck to Hide</v>
      </c>
      <c r="B227" s="128"/>
      <c r="C227" s="112" t="s">
        <v>114</v>
      </c>
      <c r="D227" s="119"/>
      <c r="E227" s="120"/>
      <c r="F227" s="120"/>
      <c r="G227" s="120"/>
      <c r="H227" s="120"/>
      <c r="I227" s="120"/>
      <c r="J227" s="120"/>
      <c r="K227" s="120"/>
      <c r="L227" s="120"/>
      <c r="M227" s="120"/>
      <c r="N227" s="120"/>
      <c r="O227" s="120"/>
      <c r="P227" s="120"/>
      <c r="Q227" s="120"/>
      <c r="R227" s="120"/>
      <c r="S227" s="117">
        <f t="shared" ref="S227:AD227" si="195">IF($E$9="WA",IF(S$1&lt;$G$6,$E$6*$N222*2*S$7+$CA$5*S224,$F$6*$N222*2*S$7+$CA$5*S224),IF($E$9="NV",IF(R225&gt;36000,0,IF(S$1&lt;$G$6,$E$6*S224,$F$6*S224)),IF(S$1&lt;$G$6,$E$6*S224,$F$6*S224)))</f>
        <v>0</v>
      </c>
      <c r="T227" s="117">
        <f t="shared" si="195"/>
        <v>0</v>
      </c>
      <c r="U227" s="117">
        <f t="shared" si="195"/>
        <v>0</v>
      </c>
      <c r="V227" s="117">
        <f t="shared" si="195"/>
        <v>0</v>
      </c>
      <c r="W227" s="117">
        <f t="shared" si="195"/>
        <v>0</v>
      </c>
      <c r="X227" s="117">
        <f t="shared" si="195"/>
        <v>0</v>
      </c>
      <c r="Y227" s="117">
        <f t="shared" si="195"/>
        <v>0</v>
      </c>
      <c r="Z227" s="117">
        <f t="shared" si="195"/>
        <v>0</v>
      </c>
      <c r="AA227" s="117">
        <f t="shared" si="195"/>
        <v>0</v>
      </c>
      <c r="AB227" s="117">
        <f t="shared" si="195"/>
        <v>0</v>
      </c>
      <c r="AC227" s="117">
        <f t="shared" si="195"/>
        <v>0</v>
      </c>
      <c r="AD227" s="117">
        <f t="shared" si="195"/>
        <v>0</v>
      </c>
      <c r="AE227" s="115"/>
    </row>
    <row r="228" spans="1:52" ht="13" hidden="1">
      <c r="A228" s="1" t="str">
        <f>A227</f>
        <v>Uncheck to Hide</v>
      </c>
      <c r="B228" s="111"/>
      <c r="C228" s="118" t="s">
        <v>86</v>
      </c>
      <c r="D228" s="113"/>
      <c r="E228" s="113"/>
      <c r="F228" s="113"/>
      <c r="G228" s="113"/>
      <c r="H228" s="113"/>
      <c r="I228" s="113"/>
      <c r="J228" s="113"/>
      <c r="K228" s="113"/>
      <c r="L228" s="113"/>
      <c r="M228" s="113"/>
      <c r="N228" s="113"/>
      <c r="O228" s="113"/>
      <c r="P228" s="113"/>
      <c r="Q228" s="113"/>
      <c r="R228" s="113"/>
      <c r="S228" s="117">
        <f t="shared" ref="S228:AD228" si="196">IF(S222=0,0,$H$11/26*S$7*IF(OR($G222=0,$G222=1),1,$G222))</f>
        <v>0</v>
      </c>
      <c r="T228" s="117">
        <f t="shared" si="196"/>
        <v>0</v>
      </c>
      <c r="U228" s="117">
        <f t="shared" si="196"/>
        <v>0</v>
      </c>
      <c r="V228" s="117">
        <f t="shared" si="196"/>
        <v>0</v>
      </c>
      <c r="W228" s="117">
        <f t="shared" si="196"/>
        <v>0</v>
      </c>
      <c r="X228" s="117">
        <f t="shared" si="196"/>
        <v>0</v>
      </c>
      <c r="Y228" s="117">
        <f t="shared" si="196"/>
        <v>0</v>
      </c>
      <c r="Z228" s="117">
        <f t="shared" si="196"/>
        <v>0</v>
      </c>
      <c r="AA228" s="117">
        <f t="shared" si="196"/>
        <v>0</v>
      </c>
      <c r="AB228" s="117">
        <f t="shared" si="196"/>
        <v>0</v>
      </c>
      <c r="AC228" s="117">
        <f t="shared" si="196"/>
        <v>0</v>
      </c>
      <c r="AD228" s="117">
        <f t="shared" si="196"/>
        <v>0</v>
      </c>
      <c r="AE228" s="115"/>
      <c r="AZ228" s="20"/>
    </row>
    <row r="229" spans="1:52" hidden="1">
      <c r="A229" s="1" t="str">
        <f>A227</f>
        <v>Uncheck to Hide</v>
      </c>
      <c r="B229" s="128"/>
      <c r="C229" s="118" t="str">
        <f>IF($E$9="CA","",$C$269)</f>
        <v>HEALTH INS. &amp; EMPL. BENEFITS</v>
      </c>
      <c r="D229" s="119"/>
      <c r="E229" s="120"/>
      <c r="F229" s="120"/>
      <c r="G229" s="120"/>
      <c r="H229" s="120"/>
      <c r="I229" s="120"/>
      <c r="J229" s="120"/>
      <c r="K229" s="120"/>
      <c r="L229" s="120"/>
      <c r="M229" s="120"/>
      <c r="N229" s="120"/>
      <c r="O229" s="120"/>
      <c r="P229" s="120"/>
      <c r="Q229" s="120"/>
      <c r="R229" s="120"/>
      <c r="S229" s="121">
        <f t="shared" ref="S229:AD229" si="197">IF(OR($E$9="CA",$E$9="CO",$E$9="OR",$E$9="WA"),0,IF($G222=0,0,$G222*$E$7*S$8/2+S224*$CC$6))</f>
        <v>0</v>
      </c>
      <c r="T229" s="121">
        <f t="shared" si="197"/>
        <v>0</v>
      </c>
      <c r="U229" s="121">
        <f t="shared" si="197"/>
        <v>0</v>
      </c>
      <c r="V229" s="121">
        <f t="shared" si="197"/>
        <v>0</v>
      </c>
      <c r="W229" s="121">
        <f t="shared" si="197"/>
        <v>0</v>
      </c>
      <c r="X229" s="121">
        <f t="shared" si="197"/>
        <v>0</v>
      </c>
      <c r="Y229" s="121">
        <f t="shared" si="197"/>
        <v>0</v>
      </c>
      <c r="Z229" s="121">
        <f t="shared" si="197"/>
        <v>0</v>
      </c>
      <c r="AA229" s="121">
        <f t="shared" si="197"/>
        <v>0</v>
      </c>
      <c r="AB229" s="121">
        <f t="shared" si="197"/>
        <v>0</v>
      </c>
      <c r="AC229" s="121">
        <f t="shared" si="197"/>
        <v>0</v>
      </c>
      <c r="AD229" s="121">
        <f t="shared" si="197"/>
        <v>0</v>
      </c>
      <c r="AE229" s="115"/>
    </row>
    <row r="230" spans="1:52" hidden="1">
      <c r="A230" s="1" t="str">
        <f>IF(F230+G230+H230+M230=0,"Uncheck to Hide","")</f>
        <v>Uncheck to Hide</v>
      </c>
      <c r="B230" s="74" t="str">
        <f>B222</f>
        <v>6510-000  CLEANING PAYROLL</v>
      </c>
      <c r="C230" s="75" t="s">
        <v>154</v>
      </c>
      <c r="D230" s="76"/>
      <c r="E230" s="77"/>
      <c r="F230" s="78"/>
      <c r="G230" s="125"/>
      <c r="H230" s="80"/>
      <c r="I230" s="80">
        <v>15</v>
      </c>
      <c r="J230" s="81"/>
      <c r="K230" s="82"/>
      <c r="L230" s="83"/>
      <c r="M230" s="84">
        <f>ROUND(K230*(1+L230),2)</f>
        <v>0</v>
      </c>
      <c r="N230" s="85"/>
      <c r="O230" s="85"/>
      <c r="P230" s="86">
        <f>IF(SUM(S231:AD231)&gt;0,1,0)</f>
        <v>0</v>
      </c>
      <c r="Q230" s="87">
        <f>M230*N230*52</f>
        <v>0</v>
      </c>
      <c r="R230" s="88"/>
      <c r="S230" s="89">
        <f t="shared" ref="S230:AD230" si="198">IF(S231="",$M230*$N230*2*S$7+$P232*S$7+$O230*$M230*1.5*2*S$7+IF($O$10="Y",(SUMIF($CS$3:$DT$3,S$1,$CS$8:$DT$8)-SUMIF($CS$3:$DT$3,R$1,$CS$8:$DT$8))*($M230*$N230*2*S$7+$P232*S$7+$O230*$M230*1.5*2*S$7)/(S$7*14),0)+IF($O$11="Y",(SUMIF($CS$3:$DT$3,S$1,$CS$8:$DT$8)*CU$11-SUMIF($CS$3:$DT$3,R$1,$CS$8:$DT$8)*CT$11)*($M230*$N230*2*S$7+$P232*S$7+$O230*$M230*1.5*2*S$7)/(S$7*14),0),S231)</f>
        <v>0</v>
      </c>
      <c r="T230" s="89">
        <f t="shared" si="198"/>
        <v>0</v>
      </c>
      <c r="U230" s="89">
        <f t="shared" si="198"/>
        <v>0</v>
      </c>
      <c r="V230" s="89">
        <f t="shared" si="198"/>
        <v>0</v>
      </c>
      <c r="W230" s="89">
        <f t="shared" si="198"/>
        <v>0</v>
      </c>
      <c r="X230" s="89">
        <f t="shared" si="198"/>
        <v>0</v>
      </c>
      <c r="Y230" s="89">
        <f t="shared" si="198"/>
        <v>0</v>
      </c>
      <c r="Z230" s="89">
        <f t="shared" si="198"/>
        <v>0</v>
      </c>
      <c r="AA230" s="89">
        <f t="shared" si="198"/>
        <v>0</v>
      </c>
      <c r="AB230" s="89">
        <f t="shared" si="198"/>
        <v>0</v>
      </c>
      <c r="AC230" s="89">
        <f t="shared" si="198"/>
        <v>0</v>
      </c>
      <c r="AD230" s="89">
        <f t="shared" si="198"/>
        <v>0</v>
      </c>
      <c r="AE230" s="90">
        <f>SUM(S230:AD230)</f>
        <v>0</v>
      </c>
    </row>
    <row r="231" spans="1:52" hidden="1">
      <c r="A231" s="1" t="str">
        <f>A230</f>
        <v>Uncheck to Hide</v>
      </c>
      <c r="B231" s="92"/>
      <c r="C231" s="93"/>
      <c r="D231" s="93"/>
      <c r="E231" s="93"/>
      <c r="F231" s="93"/>
      <c r="G231" s="93"/>
      <c r="H231" s="93"/>
      <c r="I231" s="93"/>
      <c r="J231" s="93"/>
      <c r="K231" s="93"/>
      <c r="L231" s="93"/>
      <c r="M231" s="93"/>
      <c r="N231" s="93"/>
      <c r="O231" s="93"/>
      <c r="P231" s="93"/>
      <c r="Q231" s="93"/>
      <c r="R231" s="93"/>
      <c r="S231" s="94"/>
      <c r="T231" s="94"/>
      <c r="U231" s="94"/>
      <c r="V231" s="94"/>
      <c r="W231" s="94"/>
      <c r="X231" s="94"/>
      <c r="Y231" s="94"/>
      <c r="Z231" s="94"/>
      <c r="AA231" s="94"/>
      <c r="AB231" s="94"/>
      <c r="AC231" s="94"/>
      <c r="AD231" s="94"/>
      <c r="AE231" s="93"/>
      <c r="AG231" s="95">
        <f>IF(AE230=0,0,1)</f>
        <v>0</v>
      </c>
      <c r="AH231" s="6" t="str">
        <f>IF(AG231=0,".",IF(AG206&gt;1,", 1 at "," at ")&amp;"$"&amp;ROUND(M230,2)&amp;"/hour, working "&amp;N230&amp;" hours per week with"&amp;IF(E230&gt;0," housing.","out housing."))</f>
        <v>.</v>
      </c>
    </row>
    <row r="232" spans="1:52" s="58" customFormat="1" hidden="1">
      <c r="A232" s="96" t="s">
        <v>113</v>
      </c>
      <c r="B232" s="129"/>
      <c r="C232" s="130"/>
      <c r="D232" s="131"/>
      <c r="E232" s="131"/>
      <c r="G232" s="131"/>
      <c r="H232" s="131"/>
      <c r="I232" s="131"/>
      <c r="J232" s="131"/>
      <c r="K232" s="131"/>
      <c r="L232" s="131"/>
      <c r="M232" s="133"/>
      <c r="N232" s="134"/>
      <c r="O232" s="134"/>
      <c r="P232" s="103">
        <f>+M230*N230*R230/AE$7</f>
        <v>0</v>
      </c>
      <c r="Q232" s="135"/>
      <c r="S232" s="106">
        <f t="shared" ref="S232:AD232" si="199">IF(S231&gt;0,S231-$P232*S$7,+S230-$P232*S$7)</f>
        <v>0</v>
      </c>
      <c r="T232" s="106">
        <f t="shared" si="199"/>
        <v>0</v>
      </c>
      <c r="U232" s="106">
        <f t="shared" si="199"/>
        <v>0</v>
      </c>
      <c r="V232" s="106">
        <f t="shared" si="199"/>
        <v>0</v>
      </c>
      <c r="W232" s="106">
        <f t="shared" si="199"/>
        <v>0</v>
      </c>
      <c r="X232" s="106">
        <f t="shared" si="199"/>
        <v>0</v>
      </c>
      <c r="Y232" s="106">
        <f t="shared" si="199"/>
        <v>0</v>
      </c>
      <c r="Z232" s="106">
        <f t="shared" si="199"/>
        <v>0</v>
      </c>
      <c r="AA232" s="106">
        <f t="shared" si="199"/>
        <v>0</v>
      </c>
      <c r="AB232" s="106">
        <f t="shared" si="199"/>
        <v>0</v>
      </c>
      <c r="AC232" s="106">
        <f t="shared" si="199"/>
        <v>0</v>
      </c>
      <c r="AD232" s="106">
        <f t="shared" si="199"/>
        <v>0</v>
      </c>
      <c r="AE232" s="136"/>
      <c r="AP232" s="108"/>
      <c r="AQ232" s="108"/>
      <c r="AR232" s="108"/>
      <c r="AS232" s="108"/>
    </row>
    <row r="233" spans="1:52" s="58" customFormat="1" hidden="1">
      <c r="A233" s="96" t="s">
        <v>113</v>
      </c>
      <c r="B233" s="129"/>
      <c r="C233" s="130"/>
      <c r="D233" s="131"/>
      <c r="E233" s="131"/>
      <c r="F233" s="131"/>
      <c r="G233" s="131"/>
      <c r="H233" s="131"/>
      <c r="I233" s="131"/>
      <c r="J233" s="131"/>
      <c r="K233" s="131"/>
      <c r="L233" s="131"/>
      <c r="M233" s="133"/>
      <c r="N233" s="134"/>
      <c r="O233" s="134"/>
      <c r="P233" s="131"/>
      <c r="Q233" s="135"/>
      <c r="R233" s="135"/>
      <c r="S233" s="137">
        <f>+S232</f>
        <v>0</v>
      </c>
      <c r="T233" s="137">
        <f t="shared" ref="T233:AD233" si="200">+T232+S233</f>
        <v>0</v>
      </c>
      <c r="U233" s="137">
        <f t="shared" si="200"/>
        <v>0</v>
      </c>
      <c r="V233" s="137">
        <f t="shared" si="200"/>
        <v>0</v>
      </c>
      <c r="W233" s="137">
        <f t="shared" si="200"/>
        <v>0</v>
      </c>
      <c r="X233" s="137">
        <f t="shared" si="200"/>
        <v>0</v>
      </c>
      <c r="Y233" s="137">
        <f t="shared" si="200"/>
        <v>0</v>
      </c>
      <c r="Z233" s="137">
        <f t="shared" si="200"/>
        <v>0</v>
      </c>
      <c r="AA233" s="137">
        <f t="shared" si="200"/>
        <v>0</v>
      </c>
      <c r="AB233" s="137">
        <f t="shared" si="200"/>
        <v>0</v>
      </c>
      <c r="AC233" s="137">
        <f t="shared" si="200"/>
        <v>0</v>
      </c>
      <c r="AD233" s="137">
        <f t="shared" si="200"/>
        <v>0</v>
      </c>
      <c r="AE233" s="136"/>
      <c r="AP233" s="108"/>
      <c r="AQ233" s="108"/>
      <c r="AR233" s="108"/>
      <c r="AS233" s="108"/>
    </row>
    <row r="234" spans="1:52" hidden="1">
      <c r="A234" s="1" t="str">
        <f>A231</f>
        <v>Uncheck to Hide</v>
      </c>
      <c r="B234" s="111"/>
      <c r="C234" s="112" t="s">
        <v>38</v>
      </c>
      <c r="D234" s="119"/>
      <c r="E234" s="120"/>
      <c r="F234" s="120"/>
      <c r="G234" s="120"/>
      <c r="H234" s="120"/>
      <c r="I234" s="120"/>
      <c r="J234" s="120"/>
      <c r="K234" s="120"/>
      <c r="L234" s="120"/>
      <c r="M234" s="120"/>
      <c r="N234" s="120"/>
      <c r="O234" s="120"/>
      <c r="P234" s="120"/>
      <c r="Q234" s="120"/>
      <c r="R234" s="120"/>
      <c r="S234" s="114">
        <f t="shared" ref="S234:AD234" si="201">IF($E$9="CA",IF(R233&lt;7000,$E$5*S232,($E$5-0.043)*S232),IF($E$9="IL",IF(R233&lt;12960,$E$5*S232,($E$5-0.04125)*S232),IF($E$9="PA",IF(R233&lt;10000,$E$5*S232,($E$5-0.071)*S232),IF($E$9="TX",IF(R233&lt;9000,$E$5*S232,($E$5-0.0363)*S232),$E$5*S232))))</f>
        <v>0</v>
      </c>
      <c r="T234" s="114">
        <f t="shared" si="201"/>
        <v>0</v>
      </c>
      <c r="U234" s="114">
        <f t="shared" si="201"/>
        <v>0</v>
      </c>
      <c r="V234" s="114">
        <f t="shared" si="201"/>
        <v>0</v>
      </c>
      <c r="W234" s="114">
        <f t="shared" si="201"/>
        <v>0</v>
      </c>
      <c r="X234" s="114">
        <f t="shared" si="201"/>
        <v>0</v>
      </c>
      <c r="Y234" s="114">
        <f t="shared" si="201"/>
        <v>0</v>
      </c>
      <c r="Z234" s="114">
        <f t="shared" si="201"/>
        <v>0</v>
      </c>
      <c r="AA234" s="114">
        <f t="shared" si="201"/>
        <v>0</v>
      </c>
      <c r="AB234" s="114">
        <f t="shared" si="201"/>
        <v>0</v>
      </c>
      <c r="AC234" s="114">
        <f t="shared" si="201"/>
        <v>0</v>
      </c>
      <c r="AD234" s="114">
        <f t="shared" si="201"/>
        <v>0</v>
      </c>
      <c r="AE234" s="138"/>
    </row>
    <row r="235" spans="1:52" hidden="1">
      <c r="A235" s="1" t="str">
        <f>A234</f>
        <v>Uncheck to Hide</v>
      </c>
      <c r="B235" s="111"/>
      <c r="C235" s="112" t="s">
        <v>114</v>
      </c>
      <c r="D235" s="119"/>
      <c r="E235" s="120"/>
      <c r="F235" s="120"/>
      <c r="G235" s="120"/>
      <c r="H235" s="120"/>
      <c r="I235" s="120"/>
      <c r="J235" s="120"/>
      <c r="K235" s="120"/>
      <c r="L235" s="120"/>
      <c r="M235" s="120"/>
      <c r="N235" s="120"/>
      <c r="O235" s="120"/>
      <c r="P235" s="120"/>
      <c r="Q235" s="120"/>
      <c r="R235" s="120"/>
      <c r="S235" s="117">
        <f t="shared" ref="S235:AD235" si="202">IF($E$9="WA",IF(S$1&lt;$G$6,$E$6*$N230*2*S$7+$CA$5*S232,$F$6*$N230*2*S$7+$CA$5*S232),IF($E$9="NV",IF(R233&gt;36000,0,IF(S$1&lt;$G$6,$E$6*S232,$F$6*S232)),IF(S$1&lt;$G$6,$E$6*S232,$F$6*S232)))</f>
        <v>0</v>
      </c>
      <c r="T235" s="117">
        <f t="shared" si="202"/>
        <v>0</v>
      </c>
      <c r="U235" s="117">
        <f t="shared" si="202"/>
        <v>0</v>
      </c>
      <c r="V235" s="117">
        <f t="shared" si="202"/>
        <v>0</v>
      </c>
      <c r="W235" s="117">
        <f t="shared" si="202"/>
        <v>0</v>
      </c>
      <c r="X235" s="117">
        <f t="shared" si="202"/>
        <v>0</v>
      </c>
      <c r="Y235" s="117">
        <f t="shared" si="202"/>
        <v>0</v>
      </c>
      <c r="Z235" s="117">
        <f t="shared" si="202"/>
        <v>0</v>
      </c>
      <c r="AA235" s="117">
        <f t="shared" si="202"/>
        <v>0</v>
      </c>
      <c r="AB235" s="117">
        <f t="shared" si="202"/>
        <v>0</v>
      </c>
      <c r="AC235" s="117">
        <f t="shared" si="202"/>
        <v>0</v>
      </c>
      <c r="AD235" s="117">
        <f t="shared" si="202"/>
        <v>0</v>
      </c>
      <c r="AE235" s="138"/>
    </row>
    <row r="236" spans="1:52" ht="13" hidden="1">
      <c r="A236" s="1" t="str">
        <f>A235</f>
        <v>Uncheck to Hide</v>
      </c>
      <c r="B236" s="111"/>
      <c r="C236" s="118" t="s">
        <v>86</v>
      </c>
      <c r="D236" s="113"/>
      <c r="E236" s="113"/>
      <c r="F236" s="113"/>
      <c r="G236" s="113"/>
      <c r="H236" s="113"/>
      <c r="I236" s="113"/>
      <c r="J236" s="113"/>
      <c r="K236" s="113"/>
      <c r="L236" s="113"/>
      <c r="M236" s="113"/>
      <c r="N236" s="113"/>
      <c r="O236" s="113"/>
      <c r="P236" s="113"/>
      <c r="Q236" s="113"/>
      <c r="R236" s="113"/>
      <c r="S236" s="117">
        <f t="shared" ref="S236:AD236" si="203">IF(S230=0,0,$H$11/26*S$7*IF(OR($G230=0,$G230=1),1,$G230))</f>
        <v>0</v>
      </c>
      <c r="T236" s="117">
        <f t="shared" si="203"/>
        <v>0</v>
      </c>
      <c r="U236" s="117">
        <f t="shared" si="203"/>
        <v>0</v>
      </c>
      <c r="V236" s="117">
        <f t="shared" si="203"/>
        <v>0</v>
      </c>
      <c r="W236" s="117">
        <f t="shared" si="203"/>
        <v>0</v>
      </c>
      <c r="X236" s="117">
        <f t="shared" si="203"/>
        <v>0</v>
      </c>
      <c r="Y236" s="117">
        <f t="shared" si="203"/>
        <v>0</v>
      </c>
      <c r="Z236" s="117">
        <f t="shared" si="203"/>
        <v>0</v>
      </c>
      <c r="AA236" s="117">
        <f t="shared" si="203"/>
        <v>0</v>
      </c>
      <c r="AB236" s="117">
        <f t="shared" si="203"/>
        <v>0</v>
      </c>
      <c r="AC236" s="117">
        <f t="shared" si="203"/>
        <v>0</v>
      </c>
      <c r="AD236" s="117">
        <f t="shared" si="203"/>
        <v>0</v>
      </c>
      <c r="AE236" s="115"/>
      <c r="AZ236" s="20"/>
    </row>
    <row r="237" spans="1:52" hidden="1">
      <c r="A237" s="1" t="str">
        <f>A235</f>
        <v>Uncheck to Hide</v>
      </c>
      <c r="B237" s="111"/>
      <c r="C237" s="118" t="str">
        <f>IF($E$9="CA","",$C$269)</f>
        <v>HEALTH INS. &amp; EMPL. BENEFITS</v>
      </c>
      <c r="D237" s="119"/>
      <c r="E237" s="120"/>
      <c r="F237" s="120"/>
      <c r="G237" s="120"/>
      <c r="H237" s="120"/>
      <c r="I237" s="120"/>
      <c r="J237" s="120"/>
      <c r="K237" s="120"/>
      <c r="L237" s="120"/>
      <c r="M237" s="120"/>
      <c r="N237" s="120"/>
      <c r="O237" s="120"/>
      <c r="P237" s="120"/>
      <c r="Q237" s="120"/>
      <c r="R237" s="120"/>
      <c r="S237" s="121">
        <f t="shared" ref="S237:AD237" si="204">IF(OR($E$9="CA",$E$9="CO",$E$9="OR",$E$9="WA"),0,IF($G230=0,0,$G230*$E$7*S$8/2+S232*$CC$6))</f>
        <v>0</v>
      </c>
      <c r="T237" s="121">
        <f t="shared" si="204"/>
        <v>0</v>
      </c>
      <c r="U237" s="121">
        <f t="shared" si="204"/>
        <v>0</v>
      </c>
      <c r="V237" s="121">
        <f t="shared" si="204"/>
        <v>0</v>
      </c>
      <c r="W237" s="121">
        <f t="shared" si="204"/>
        <v>0</v>
      </c>
      <c r="X237" s="121">
        <f t="shared" si="204"/>
        <v>0</v>
      </c>
      <c r="Y237" s="121">
        <f t="shared" si="204"/>
        <v>0</v>
      </c>
      <c r="Z237" s="121">
        <f t="shared" si="204"/>
        <v>0</v>
      </c>
      <c r="AA237" s="121">
        <f t="shared" si="204"/>
        <v>0</v>
      </c>
      <c r="AB237" s="121">
        <f t="shared" si="204"/>
        <v>0</v>
      </c>
      <c r="AC237" s="121">
        <f t="shared" si="204"/>
        <v>0</v>
      </c>
      <c r="AD237" s="121">
        <f t="shared" si="204"/>
        <v>0</v>
      </c>
      <c r="AE237" s="138"/>
    </row>
    <row r="238" spans="1:52" hidden="1">
      <c r="A238" s="1" t="str">
        <f>IF(F238+G238+H238+M238=0,"Uncheck to Hide","")</f>
        <v>Uncheck to Hide</v>
      </c>
      <c r="B238" s="74" t="str">
        <f>IF(C238="",CK$5,LOOKUP(C238,CH$3:CH$12,CK$3:CK$12))</f>
        <v>6390-050  AREA SUPERVISOR</v>
      </c>
      <c r="C238" s="139" t="s">
        <v>40</v>
      </c>
      <c r="D238" s="76"/>
      <c r="E238" s="77"/>
      <c r="F238" s="78"/>
      <c r="G238" s="125"/>
      <c r="H238" s="80"/>
      <c r="I238" s="80">
        <v>15</v>
      </c>
      <c r="J238" s="81"/>
      <c r="K238" s="82"/>
      <c r="L238" s="83"/>
      <c r="M238" s="84">
        <f>ROUND(K238*(1+L238),2)</f>
        <v>0</v>
      </c>
      <c r="N238" s="85"/>
      <c r="O238" s="85"/>
      <c r="P238" s="86">
        <f>IF(SUM(S239:AD239)&gt;0,1,0)</f>
        <v>0</v>
      </c>
      <c r="Q238" s="87">
        <f>M238*N238*52</f>
        <v>0</v>
      </c>
      <c r="R238" s="88"/>
      <c r="S238" s="89">
        <f t="shared" ref="S238:AD238" si="205">IF(S239="",$M238*$N238*2*S$7+$P240*S$7+$O238*$M238*1.5*2*S$7+IF($O$10="Y",(SUMIF($CS$3:$DT$3,S$1,$CS$8:$DT$8)-SUMIF($CS$3:$DT$3,R$1,$CS$8:$DT$8))*($M238*$N238*2*S$7+$P240*S$7+$O238*$M238*1.5*2*S$7)/(S$7*14),0)+IF($O$11="Y",(SUMIF($CS$3:$DT$3,S$1,$CS$8:$DT$8)*CU$11-SUMIF($CS$3:$DT$3,R$1,$CS$8:$DT$8)*CT$11)*($M238*$N238*2*S$7+$P240*S$7+$O238*$M238*1.5*2*S$7)/(S$7*14),0),S239)</f>
        <v>0</v>
      </c>
      <c r="T238" s="89">
        <f t="shared" si="205"/>
        <v>0</v>
      </c>
      <c r="U238" s="89">
        <f t="shared" si="205"/>
        <v>0</v>
      </c>
      <c r="V238" s="89">
        <f t="shared" si="205"/>
        <v>0</v>
      </c>
      <c r="W238" s="89">
        <f t="shared" si="205"/>
        <v>0</v>
      </c>
      <c r="X238" s="89">
        <f t="shared" si="205"/>
        <v>0</v>
      </c>
      <c r="Y238" s="89">
        <f t="shared" si="205"/>
        <v>0</v>
      </c>
      <c r="Z238" s="89">
        <f t="shared" si="205"/>
        <v>0</v>
      </c>
      <c r="AA238" s="89">
        <f t="shared" si="205"/>
        <v>0</v>
      </c>
      <c r="AB238" s="89">
        <f t="shared" si="205"/>
        <v>0</v>
      </c>
      <c r="AC238" s="89">
        <f t="shared" si="205"/>
        <v>0</v>
      </c>
      <c r="AD238" s="89">
        <f t="shared" si="205"/>
        <v>0</v>
      </c>
      <c r="AE238" s="90">
        <f>SUM(S238:AD238)</f>
        <v>0</v>
      </c>
    </row>
    <row r="239" spans="1:52" hidden="1">
      <c r="A239" s="1" t="str">
        <f>A238</f>
        <v>Uncheck to Hide</v>
      </c>
      <c r="B239" s="92"/>
      <c r="C239" s="93"/>
      <c r="D239" s="93"/>
      <c r="E239" s="93"/>
      <c r="F239" s="93"/>
      <c r="G239" s="93"/>
      <c r="H239" s="93"/>
      <c r="I239" s="93"/>
      <c r="J239" s="93"/>
      <c r="K239" s="93"/>
      <c r="L239" s="93"/>
      <c r="M239" s="93"/>
      <c r="N239" s="93"/>
      <c r="O239" s="93"/>
      <c r="P239" s="93"/>
      <c r="Q239" s="93"/>
      <c r="R239" s="93"/>
      <c r="S239" s="94"/>
      <c r="T239" s="94"/>
      <c r="U239" s="94"/>
      <c r="V239" s="94"/>
      <c r="W239" s="94"/>
      <c r="X239" s="94"/>
      <c r="Y239" s="94"/>
      <c r="Z239" s="94"/>
      <c r="AA239" s="94"/>
      <c r="AB239" s="94"/>
      <c r="AC239" s="94"/>
      <c r="AD239" s="94"/>
      <c r="AE239" s="93"/>
    </row>
    <row r="240" spans="1:52" s="58" customFormat="1" hidden="1">
      <c r="A240" s="96" t="s">
        <v>113</v>
      </c>
      <c r="B240" s="129"/>
      <c r="C240" s="130"/>
      <c r="D240" s="131"/>
      <c r="E240" s="131"/>
      <c r="G240" s="131"/>
      <c r="H240" s="131"/>
      <c r="I240" s="131"/>
      <c r="J240" s="131"/>
      <c r="K240" s="131"/>
      <c r="L240" s="131"/>
      <c r="M240" s="133"/>
      <c r="N240" s="134"/>
      <c r="O240" s="134"/>
      <c r="P240" s="103">
        <f>+M238*N238*R238/AE$7</f>
        <v>0</v>
      </c>
      <c r="Q240" s="135"/>
      <c r="S240" s="106">
        <f t="shared" ref="S240:AD240" si="206">IF(S239&gt;0,S239-$P240*S$7,+S238-$P240*S$7)</f>
        <v>0</v>
      </c>
      <c r="T240" s="106">
        <f t="shared" si="206"/>
        <v>0</v>
      </c>
      <c r="U240" s="106">
        <f t="shared" si="206"/>
        <v>0</v>
      </c>
      <c r="V240" s="106">
        <f t="shared" si="206"/>
        <v>0</v>
      </c>
      <c r="W240" s="106">
        <f t="shared" si="206"/>
        <v>0</v>
      </c>
      <c r="X240" s="106">
        <f t="shared" si="206"/>
        <v>0</v>
      </c>
      <c r="Y240" s="106">
        <f t="shared" si="206"/>
        <v>0</v>
      </c>
      <c r="Z240" s="106">
        <f t="shared" si="206"/>
        <v>0</v>
      </c>
      <c r="AA240" s="106">
        <f t="shared" si="206"/>
        <v>0</v>
      </c>
      <c r="AB240" s="106">
        <f t="shared" si="206"/>
        <v>0</v>
      </c>
      <c r="AC240" s="106">
        <f t="shared" si="206"/>
        <v>0</v>
      </c>
      <c r="AD240" s="106">
        <f t="shared" si="206"/>
        <v>0</v>
      </c>
      <c r="AE240" s="136"/>
      <c r="AP240" s="108"/>
      <c r="AQ240" s="108"/>
      <c r="AR240" s="108"/>
      <c r="AS240" s="108"/>
    </row>
    <row r="241" spans="1:52" s="58" customFormat="1" hidden="1">
      <c r="A241" s="96" t="s">
        <v>113</v>
      </c>
      <c r="B241" s="129"/>
      <c r="C241" s="130"/>
      <c r="D241" s="131"/>
      <c r="E241" s="131"/>
      <c r="F241" s="131"/>
      <c r="G241" s="131"/>
      <c r="H241" s="131"/>
      <c r="I241" s="131"/>
      <c r="J241" s="131"/>
      <c r="K241" s="131"/>
      <c r="L241" s="131"/>
      <c r="M241" s="133"/>
      <c r="N241" s="134"/>
      <c r="O241" s="134"/>
      <c r="P241" s="131"/>
      <c r="Q241" s="135"/>
      <c r="R241" s="135"/>
      <c r="S241" s="137">
        <f>+S240</f>
        <v>0</v>
      </c>
      <c r="T241" s="137">
        <f t="shared" ref="T241:AD241" si="207">+T240+S241</f>
        <v>0</v>
      </c>
      <c r="U241" s="137">
        <f t="shared" si="207"/>
        <v>0</v>
      </c>
      <c r="V241" s="137">
        <f t="shared" si="207"/>
        <v>0</v>
      </c>
      <c r="W241" s="137">
        <f t="shared" si="207"/>
        <v>0</v>
      </c>
      <c r="X241" s="137">
        <f t="shared" si="207"/>
        <v>0</v>
      </c>
      <c r="Y241" s="137">
        <f t="shared" si="207"/>
        <v>0</v>
      </c>
      <c r="Z241" s="137">
        <f t="shared" si="207"/>
        <v>0</v>
      </c>
      <c r="AA241" s="137">
        <f t="shared" si="207"/>
        <v>0</v>
      </c>
      <c r="AB241" s="137">
        <f t="shared" si="207"/>
        <v>0</v>
      </c>
      <c r="AC241" s="137">
        <f t="shared" si="207"/>
        <v>0</v>
      </c>
      <c r="AD241" s="137">
        <f t="shared" si="207"/>
        <v>0</v>
      </c>
      <c r="AE241" s="136"/>
      <c r="AP241" s="108"/>
      <c r="AQ241" s="108"/>
      <c r="AR241" s="108"/>
      <c r="AS241" s="108"/>
    </row>
    <row r="242" spans="1:52" hidden="1">
      <c r="A242" s="1" t="str">
        <f>A239</f>
        <v>Uncheck to Hide</v>
      </c>
      <c r="B242" s="111"/>
      <c r="C242" s="112" t="s">
        <v>38</v>
      </c>
      <c r="D242" s="119"/>
      <c r="E242" s="120"/>
      <c r="F242" s="120"/>
      <c r="G242" s="120"/>
      <c r="H242" s="120"/>
      <c r="I242" s="120"/>
      <c r="J242" s="120"/>
      <c r="K242" s="120"/>
      <c r="L242" s="120"/>
      <c r="M242" s="120"/>
      <c r="N242" s="120"/>
      <c r="O242" s="120"/>
      <c r="P242" s="120"/>
      <c r="Q242" s="120"/>
      <c r="R242" s="120"/>
      <c r="S242" s="114">
        <f t="shared" ref="S242:AD242" si="208">IF($E$9="CA",IF(R241&lt;7000,$E$5*S240,($E$5-0.043)*S240),IF($E$9="IL",IF(R241&lt;12960,$E$5*S240,($E$5-0.04125)*S240),IF($E$9="PA",IF(R241&lt;10000,$E$5*S240,($E$5-0.071)*S240),IF($E$9="TX",IF(R241&lt;9000,$E$5*S240,($E$5-0.0363)*S240),$E$5*S240))))</f>
        <v>0</v>
      </c>
      <c r="T242" s="114">
        <f t="shared" si="208"/>
        <v>0</v>
      </c>
      <c r="U242" s="114">
        <f t="shared" si="208"/>
        <v>0</v>
      </c>
      <c r="V242" s="114">
        <f t="shared" si="208"/>
        <v>0</v>
      </c>
      <c r="W242" s="114">
        <f t="shared" si="208"/>
        <v>0</v>
      </c>
      <c r="X242" s="114">
        <f t="shared" si="208"/>
        <v>0</v>
      </c>
      <c r="Y242" s="114">
        <f t="shared" si="208"/>
        <v>0</v>
      </c>
      <c r="Z242" s="114">
        <f t="shared" si="208"/>
        <v>0</v>
      </c>
      <c r="AA242" s="114">
        <f t="shared" si="208"/>
        <v>0</v>
      </c>
      <c r="AB242" s="114">
        <f t="shared" si="208"/>
        <v>0</v>
      </c>
      <c r="AC242" s="114">
        <f t="shared" si="208"/>
        <v>0</v>
      </c>
      <c r="AD242" s="114">
        <f t="shared" si="208"/>
        <v>0</v>
      </c>
      <c r="AE242" s="138"/>
    </row>
    <row r="243" spans="1:52" hidden="1">
      <c r="A243" s="1" t="str">
        <f>A242</f>
        <v>Uncheck to Hide</v>
      </c>
      <c r="B243" s="111"/>
      <c r="C243" s="112" t="s">
        <v>114</v>
      </c>
      <c r="D243" s="113"/>
      <c r="E243" s="113"/>
      <c r="F243" s="140"/>
      <c r="G243" s="120"/>
      <c r="H243" s="120"/>
      <c r="I243" s="120"/>
      <c r="J243" s="120"/>
      <c r="K243" s="120"/>
      <c r="L243" s="120"/>
      <c r="M243" s="120"/>
      <c r="N243" s="120"/>
      <c r="O243" s="120"/>
      <c r="P243" s="120"/>
      <c r="Q243" s="120"/>
      <c r="R243" s="120"/>
      <c r="S243" s="117">
        <f t="shared" ref="S243:AD243" si="209">IF($E$9="WA",IF(S$1&lt;$G$6,$E$6*$N238*2*S$7+$CA$5*S240,$F$6*$N238*2*S$7+$CA$5*S240),IF($E$9="NV",IF(R241&gt;36000,0,IF(S$1&lt;$G$6,$E$6*S240,$F$6*S240)),IF(S$1&lt;$G$6,$E$6*S240,$F$6*S240)))</f>
        <v>0</v>
      </c>
      <c r="T243" s="117">
        <f t="shared" si="209"/>
        <v>0</v>
      </c>
      <c r="U243" s="117">
        <f t="shared" si="209"/>
        <v>0</v>
      </c>
      <c r="V243" s="117">
        <f t="shared" si="209"/>
        <v>0</v>
      </c>
      <c r="W243" s="117">
        <f t="shared" si="209"/>
        <v>0</v>
      </c>
      <c r="X243" s="117">
        <f t="shared" si="209"/>
        <v>0</v>
      </c>
      <c r="Y243" s="117">
        <f t="shared" si="209"/>
        <v>0</v>
      </c>
      <c r="Z243" s="117">
        <f t="shared" si="209"/>
        <v>0</v>
      </c>
      <c r="AA243" s="117">
        <f t="shared" si="209"/>
        <v>0</v>
      </c>
      <c r="AB243" s="117">
        <f t="shared" si="209"/>
        <v>0</v>
      </c>
      <c r="AC243" s="117">
        <f t="shared" si="209"/>
        <v>0</v>
      </c>
      <c r="AD243" s="117">
        <f t="shared" si="209"/>
        <v>0</v>
      </c>
      <c r="AE243" s="138"/>
    </row>
    <row r="244" spans="1:52" ht="13" hidden="1">
      <c r="A244" s="1" t="str">
        <f>A243</f>
        <v>Uncheck to Hide</v>
      </c>
      <c r="B244" s="111"/>
      <c r="C244" s="118" t="s">
        <v>86</v>
      </c>
      <c r="D244" s="113"/>
      <c r="E244" s="113"/>
      <c r="F244" s="113"/>
      <c r="G244" s="113"/>
      <c r="H244" s="113"/>
      <c r="I244" s="113"/>
      <c r="J244" s="113"/>
      <c r="K244" s="113"/>
      <c r="L244" s="113"/>
      <c r="M244" s="113"/>
      <c r="N244" s="113"/>
      <c r="O244" s="113"/>
      <c r="P244" s="113"/>
      <c r="Q244" s="113"/>
      <c r="R244" s="113"/>
      <c r="S244" s="117">
        <f t="shared" ref="S244:AD244" si="210">IF(S238=0,0,$H$11/26*S$7*IF(OR($G238=0,$G238=1),1,$G238))</f>
        <v>0</v>
      </c>
      <c r="T244" s="117">
        <f t="shared" si="210"/>
        <v>0</v>
      </c>
      <c r="U244" s="117">
        <f t="shared" si="210"/>
        <v>0</v>
      </c>
      <c r="V244" s="117">
        <f t="shared" si="210"/>
        <v>0</v>
      </c>
      <c r="W244" s="117">
        <f t="shared" si="210"/>
        <v>0</v>
      </c>
      <c r="X244" s="117">
        <f t="shared" si="210"/>
        <v>0</v>
      </c>
      <c r="Y244" s="117">
        <f t="shared" si="210"/>
        <v>0</v>
      </c>
      <c r="Z244" s="117">
        <f t="shared" si="210"/>
        <v>0</v>
      </c>
      <c r="AA244" s="117">
        <f t="shared" si="210"/>
        <v>0</v>
      </c>
      <c r="AB244" s="117">
        <f t="shared" si="210"/>
        <v>0</v>
      </c>
      <c r="AC244" s="117">
        <f t="shared" si="210"/>
        <v>0</v>
      </c>
      <c r="AD244" s="117">
        <f t="shared" si="210"/>
        <v>0</v>
      </c>
      <c r="AE244" s="115"/>
      <c r="AZ244" s="20"/>
    </row>
    <row r="245" spans="1:52" hidden="1">
      <c r="A245" s="1" t="str">
        <f>A243</f>
        <v>Uncheck to Hide</v>
      </c>
      <c r="B245" s="111"/>
      <c r="C245" s="118" t="str">
        <f>IF($E$9="CA","",$C$269)</f>
        <v>HEALTH INS. &amp; EMPL. BENEFITS</v>
      </c>
      <c r="D245" s="119"/>
      <c r="E245" s="120"/>
      <c r="F245" s="120"/>
      <c r="G245" s="120"/>
      <c r="H245" s="120"/>
      <c r="I245" s="120"/>
      <c r="J245" s="120"/>
      <c r="K245" s="120"/>
      <c r="L245" s="120"/>
      <c r="M245" s="120"/>
      <c r="N245" s="120"/>
      <c r="O245" s="120"/>
      <c r="P245" s="120"/>
      <c r="Q245" s="120"/>
      <c r="R245" s="120"/>
      <c r="S245" s="121">
        <f t="shared" ref="S245:AD245" si="211">IF(OR($E$9="CA",$E$9="CO",$E$9="OR",$E$9="WA"),0,IF($G238=0,0,$G238*$E$7*S$8/2+S240*$CC$6))</f>
        <v>0</v>
      </c>
      <c r="T245" s="121">
        <f t="shared" si="211"/>
        <v>0</v>
      </c>
      <c r="U245" s="121">
        <f t="shared" si="211"/>
        <v>0</v>
      </c>
      <c r="V245" s="121">
        <f t="shared" si="211"/>
        <v>0</v>
      </c>
      <c r="W245" s="121">
        <f t="shared" si="211"/>
        <v>0</v>
      </c>
      <c r="X245" s="121">
        <f t="shared" si="211"/>
        <v>0</v>
      </c>
      <c r="Y245" s="121">
        <f t="shared" si="211"/>
        <v>0</v>
      </c>
      <c r="Z245" s="121">
        <f t="shared" si="211"/>
        <v>0</v>
      </c>
      <c r="AA245" s="121">
        <f t="shared" si="211"/>
        <v>0</v>
      </c>
      <c r="AB245" s="121">
        <f t="shared" si="211"/>
        <v>0</v>
      </c>
      <c r="AC245" s="121">
        <f t="shared" si="211"/>
        <v>0</v>
      </c>
      <c r="AD245" s="121">
        <f t="shared" si="211"/>
        <v>0</v>
      </c>
      <c r="AE245" s="138"/>
    </row>
    <row r="246" spans="1:52" hidden="1">
      <c r="A246" s="1" t="str">
        <f>IF(F246+G246+H246+M246=0,"Uncheck to Hide","")</f>
        <v>Uncheck to Hide</v>
      </c>
      <c r="B246" s="74" t="str">
        <f>IF(C246="",CK$5,LOOKUP(C246,CH$3:CH$12,CK$3:CK$12))</f>
        <v>6500-210  OTHER MAINTENANCE PAYROLL</v>
      </c>
      <c r="C246" s="139" t="s">
        <v>66</v>
      </c>
      <c r="D246" s="76"/>
      <c r="E246" s="77"/>
      <c r="F246" s="78"/>
      <c r="G246" s="125"/>
      <c r="H246" s="80"/>
      <c r="I246" s="80">
        <v>15</v>
      </c>
      <c r="J246" s="81"/>
      <c r="K246" s="82"/>
      <c r="L246" s="83"/>
      <c r="M246" s="84">
        <f>ROUND(K246*(1+L246),2)</f>
        <v>0</v>
      </c>
      <c r="N246" s="85"/>
      <c r="O246" s="85"/>
      <c r="P246" s="86">
        <f>IF(SUM(S247:AD247)&gt;0,1,0)</f>
        <v>0</v>
      </c>
      <c r="Q246" s="87">
        <f>M246*N246*52</f>
        <v>0</v>
      </c>
      <c r="R246" s="88"/>
      <c r="S246" s="89">
        <f t="shared" ref="S246:AD246" si="212">IF(S247="",$M246*$N246*2*S$7+$P248*S$7+$O246*$M246*1.5*2*S$7+IF($O$10="Y",(SUMIF($CS$3:$DT$3,S$1,$CS$8:$DT$8)-SUMIF($CS$3:$DT$3,R$1,$CS$8:$DT$8))*($M246*$N246*2*S$7+$P248*S$7+$O246*$M246*1.5*2*S$7)/(S$7*14),0)+IF($O$11="Y",(SUMIF($CS$3:$DT$3,S$1,$CS$8:$DT$8)*CU$11-SUMIF($CS$3:$DT$3,R$1,$CS$8:$DT$8)*CT$11)*($M246*$N246*2*S$7+$P248*S$7+$O246*$M246*1.5*2*S$7)/(S$7*14),0),S247)</f>
        <v>0</v>
      </c>
      <c r="T246" s="89">
        <f t="shared" si="212"/>
        <v>0</v>
      </c>
      <c r="U246" s="89">
        <f t="shared" si="212"/>
        <v>0</v>
      </c>
      <c r="V246" s="89">
        <f t="shared" si="212"/>
        <v>0</v>
      </c>
      <c r="W246" s="89">
        <f t="shared" si="212"/>
        <v>0</v>
      </c>
      <c r="X246" s="89">
        <f t="shared" si="212"/>
        <v>0</v>
      </c>
      <c r="Y246" s="89">
        <f t="shared" si="212"/>
        <v>0</v>
      </c>
      <c r="Z246" s="89">
        <f t="shared" si="212"/>
        <v>0</v>
      </c>
      <c r="AA246" s="89">
        <f t="shared" si="212"/>
        <v>0</v>
      </c>
      <c r="AB246" s="89">
        <f t="shared" si="212"/>
        <v>0</v>
      </c>
      <c r="AC246" s="89">
        <f t="shared" si="212"/>
        <v>0</v>
      </c>
      <c r="AD246" s="89">
        <f t="shared" si="212"/>
        <v>0</v>
      </c>
      <c r="AE246" s="90">
        <f>SUM(S246:AD246)</f>
        <v>0</v>
      </c>
    </row>
    <row r="247" spans="1:52" hidden="1">
      <c r="A247" s="1" t="str">
        <f>A246</f>
        <v>Uncheck to Hide</v>
      </c>
      <c r="B247" s="92"/>
      <c r="C247" s="93"/>
      <c r="D247" s="93"/>
      <c r="E247" s="93"/>
      <c r="F247" s="93"/>
      <c r="G247" s="93"/>
      <c r="H247" s="93"/>
      <c r="I247" s="93"/>
      <c r="J247" s="93"/>
      <c r="K247" s="93"/>
      <c r="L247" s="93"/>
      <c r="M247" s="93"/>
      <c r="N247" s="93"/>
      <c r="O247" s="93"/>
      <c r="P247" s="93"/>
      <c r="Q247" s="93"/>
      <c r="R247" s="93"/>
      <c r="S247" s="94"/>
      <c r="T247" s="94"/>
      <c r="U247" s="94"/>
      <c r="V247" s="94"/>
      <c r="W247" s="94"/>
      <c r="X247" s="94"/>
      <c r="Y247" s="94"/>
      <c r="Z247" s="94"/>
      <c r="AA247" s="94"/>
      <c r="AB247" s="94"/>
      <c r="AC247" s="94"/>
      <c r="AD247" s="94"/>
      <c r="AE247" s="93"/>
    </row>
    <row r="248" spans="1:52" s="58" customFormat="1" hidden="1">
      <c r="A248" s="96" t="s">
        <v>113</v>
      </c>
      <c r="B248" s="129"/>
      <c r="C248" s="130"/>
      <c r="D248" s="131"/>
      <c r="E248" s="131"/>
      <c r="G248" s="131"/>
      <c r="H248" s="131"/>
      <c r="I248" s="131"/>
      <c r="J248" s="131"/>
      <c r="K248" s="131"/>
      <c r="L248" s="131"/>
      <c r="M248" s="133"/>
      <c r="N248" s="134"/>
      <c r="O248" s="134"/>
      <c r="P248" s="103">
        <f>+M246*N246*R246/AE$7</f>
        <v>0</v>
      </c>
      <c r="Q248" s="135"/>
      <c r="S248" s="106">
        <f t="shared" ref="S248:AD248" si="213">IF(S247&gt;0,S247-$P248*S$7,+S246-$P248*S$7)</f>
        <v>0</v>
      </c>
      <c r="T248" s="106">
        <f t="shared" si="213"/>
        <v>0</v>
      </c>
      <c r="U248" s="106">
        <f t="shared" si="213"/>
        <v>0</v>
      </c>
      <c r="V248" s="106">
        <f t="shared" si="213"/>
        <v>0</v>
      </c>
      <c r="W248" s="106">
        <f t="shared" si="213"/>
        <v>0</v>
      </c>
      <c r="X248" s="106">
        <f t="shared" si="213"/>
        <v>0</v>
      </c>
      <c r="Y248" s="106">
        <f t="shared" si="213"/>
        <v>0</v>
      </c>
      <c r="Z248" s="106">
        <f t="shared" si="213"/>
        <v>0</v>
      </c>
      <c r="AA248" s="106">
        <f t="shared" si="213"/>
        <v>0</v>
      </c>
      <c r="AB248" s="106">
        <f t="shared" si="213"/>
        <v>0</v>
      </c>
      <c r="AC248" s="106">
        <f t="shared" si="213"/>
        <v>0</v>
      </c>
      <c r="AD248" s="106">
        <f t="shared" si="213"/>
        <v>0</v>
      </c>
      <c r="AE248" s="136"/>
      <c r="AP248" s="108"/>
      <c r="AQ248" s="108"/>
      <c r="AR248" s="108"/>
      <c r="AS248" s="108"/>
    </row>
    <row r="249" spans="1:52" s="58" customFormat="1" hidden="1">
      <c r="A249" s="96" t="s">
        <v>113</v>
      </c>
      <c r="B249" s="129"/>
      <c r="C249" s="130"/>
      <c r="D249" s="131"/>
      <c r="E249" s="131"/>
      <c r="F249" s="131"/>
      <c r="G249" s="131"/>
      <c r="H249" s="131"/>
      <c r="I249" s="131"/>
      <c r="J249" s="131"/>
      <c r="K249" s="131"/>
      <c r="L249" s="131"/>
      <c r="M249" s="133"/>
      <c r="N249" s="134"/>
      <c r="O249" s="134"/>
      <c r="P249" s="131"/>
      <c r="Q249" s="135"/>
      <c r="R249" s="135"/>
      <c r="S249" s="137">
        <f>+S248</f>
        <v>0</v>
      </c>
      <c r="T249" s="137">
        <f t="shared" ref="T249:AD249" si="214">+T248+S249</f>
        <v>0</v>
      </c>
      <c r="U249" s="137">
        <f t="shared" si="214"/>
        <v>0</v>
      </c>
      <c r="V249" s="137">
        <f t="shared" si="214"/>
        <v>0</v>
      </c>
      <c r="W249" s="137">
        <f t="shared" si="214"/>
        <v>0</v>
      </c>
      <c r="X249" s="137">
        <f t="shared" si="214"/>
        <v>0</v>
      </c>
      <c r="Y249" s="137">
        <f t="shared" si="214"/>
        <v>0</v>
      </c>
      <c r="Z249" s="137">
        <f t="shared" si="214"/>
        <v>0</v>
      </c>
      <c r="AA249" s="137">
        <f t="shared" si="214"/>
        <v>0</v>
      </c>
      <c r="AB249" s="137">
        <f t="shared" si="214"/>
        <v>0</v>
      </c>
      <c r="AC249" s="137">
        <f t="shared" si="214"/>
        <v>0</v>
      </c>
      <c r="AD249" s="137">
        <f t="shared" si="214"/>
        <v>0</v>
      </c>
      <c r="AE249" s="136"/>
      <c r="AP249" s="108"/>
      <c r="AQ249" s="108"/>
      <c r="AR249" s="108"/>
      <c r="AS249" s="108"/>
    </row>
    <row r="250" spans="1:52" hidden="1">
      <c r="A250" s="1" t="str">
        <f>A247</f>
        <v>Uncheck to Hide</v>
      </c>
      <c r="B250" s="111"/>
      <c r="C250" s="112" t="s">
        <v>38</v>
      </c>
      <c r="D250" s="119"/>
      <c r="E250" s="120"/>
      <c r="F250" s="120"/>
      <c r="G250" s="120"/>
      <c r="H250" s="120"/>
      <c r="I250" s="120"/>
      <c r="J250" s="120"/>
      <c r="K250" s="120"/>
      <c r="L250" s="120"/>
      <c r="M250" s="120"/>
      <c r="N250" s="120"/>
      <c r="O250" s="120"/>
      <c r="P250" s="120"/>
      <c r="Q250" s="120"/>
      <c r="R250" s="120"/>
      <c r="S250" s="114">
        <f t="shared" ref="S250:AD250" si="215">IF($E$9="CA",IF(R249&lt;7000,$E$5*S248,($E$5-0.043)*S248),IF($E$9="IL",IF(R249&lt;12960,$E$5*S248,($E$5-0.04125)*S248),IF($E$9="PA",IF(R249&lt;10000,$E$5*S248,($E$5-0.071)*S248),IF($E$9="TX",IF(R249&lt;9000,$E$5*S248,($E$5-0.0363)*S248),$E$5*S248))))</f>
        <v>0</v>
      </c>
      <c r="T250" s="114">
        <f t="shared" si="215"/>
        <v>0</v>
      </c>
      <c r="U250" s="114">
        <f t="shared" si="215"/>
        <v>0</v>
      </c>
      <c r="V250" s="114">
        <f t="shared" si="215"/>
        <v>0</v>
      </c>
      <c r="W250" s="114">
        <f t="shared" si="215"/>
        <v>0</v>
      </c>
      <c r="X250" s="114">
        <f t="shared" si="215"/>
        <v>0</v>
      </c>
      <c r="Y250" s="114">
        <f t="shared" si="215"/>
        <v>0</v>
      </c>
      <c r="Z250" s="114">
        <f t="shared" si="215"/>
        <v>0</v>
      </c>
      <c r="AA250" s="114">
        <f t="shared" si="215"/>
        <v>0</v>
      </c>
      <c r="AB250" s="114">
        <f t="shared" si="215"/>
        <v>0</v>
      </c>
      <c r="AC250" s="114">
        <f t="shared" si="215"/>
        <v>0</v>
      </c>
      <c r="AD250" s="114">
        <f t="shared" si="215"/>
        <v>0</v>
      </c>
      <c r="AE250" s="138"/>
    </row>
    <row r="251" spans="1:52" hidden="1">
      <c r="A251" s="1" t="str">
        <f>A250</f>
        <v>Uncheck to Hide</v>
      </c>
      <c r="B251" s="111"/>
      <c r="C251" s="112" t="s">
        <v>114</v>
      </c>
      <c r="D251" s="113"/>
      <c r="E251" s="113"/>
      <c r="F251" s="140"/>
      <c r="G251" s="120"/>
      <c r="H251" s="120"/>
      <c r="I251" s="120"/>
      <c r="J251" s="120"/>
      <c r="K251" s="120"/>
      <c r="L251" s="120"/>
      <c r="M251" s="120"/>
      <c r="N251" s="120"/>
      <c r="O251" s="120"/>
      <c r="P251" s="120"/>
      <c r="Q251" s="120"/>
      <c r="R251" s="120"/>
      <c r="S251" s="117">
        <f t="shared" ref="S251:AD251" si="216">IF($E$9="WA",IF(S$1&lt;$G$6,$E$6*$N246*2*S$7+$CA$5*S248,$F$6*$N246*2*S$7+$CA$5*S248),IF($E$9="NV",IF(R249&gt;36000,0,IF(S$1&lt;$G$6,$E$6*S248,$F$6*S248)),IF(S$1&lt;$G$6,$E$6*S248,$F$6*S248)))</f>
        <v>0</v>
      </c>
      <c r="T251" s="117">
        <f t="shared" si="216"/>
        <v>0</v>
      </c>
      <c r="U251" s="117">
        <f t="shared" si="216"/>
        <v>0</v>
      </c>
      <c r="V251" s="117">
        <f t="shared" si="216"/>
        <v>0</v>
      </c>
      <c r="W251" s="117">
        <f t="shared" si="216"/>
        <v>0</v>
      </c>
      <c r="X251" s="117">
        <f t="shared" si="216"/>
        <v>0</v>
      </c>
      <c r="Y251" s="117">
        <f t="shared" si="216"/>
        <v>0</v>
      </c>
      <c r="Z251" s="117">
        <f t="shared" si="216"/>
        <v>0</v>
      </c>
      <c r="AA251" s="117">
        <f t="shared" si="216"/>
        <v>0</v>
      </c>
      <c r="AB251" s="117">
        <f t="shared" si="216"/>
        <v>0</v>
      </c>
      <c r="AC251" s="117">
        <f t="shared" si="216"/>
        <v>0</v>
      </c>
      <c r="AD251" s="117">
        <f t="shared" si="216"/>
        <v>0</v>
      </c>
      <c r="AE251" s="138"/>
    </row>
    <row r="252" spans="1:52" ht="13" hidden="1">
      <c r="A252" s="1" t="str">
        <f>A251</f>
        <v>Uncheck to Hide</v>
      </c>
      <c r="B252" s="111"/>
      <c r="C252" s="118" t="s">
        <v>86</v>
      </c>
      <c r="D252" s="113"/>
      <c r="E252" s="113"/>
      <c r="F252" s="113"/>
      <c r="G252" s="113"/>
      <c r="H252" s="113"/>
      <c r="I252" s="113"/>
      <c r="J252" s="113"/>
      <c r="K252" s="113"/>
      <c r="L252" s="113"/>
      <c r="M252" s="113"/>
      <c r="N252" s="113"/>
      <c r="O252" s="113"/>
      <c r="P252" s="113"/>
      <c r="Q252" s="113"/>
      <c r="R252" s="113"/>
      <c r="S252" s="117">
        <f t="shared" ref="S252:AD252" si="217">IF(S246=0,0,$H$11/26*S$7*IF(OR($G246=0,$G246=1),1,$G246))</f>
        <v>0</v>
      </c>
      <c r="T252" s="117">
        <f t="shared" si="217"/>
        <v>0</v>
      </c>
      <c r="U252" s="117">
        <f t="shared" si="217"/>
        <v>0</v>
      </c>
      <c r="V252" s="117">
        <f t="shared" si="217"/>
        <v>0</v>
      </c>
      <c r="W252" s="117">
        <f t="shared" si="217"/>
        <v>0</v>
      </c>
      <c r="X252" s="117">
        <f t="shared" si="217"/>
        <v>0</v>
      </c>
      <c r="Y252" s="117">
        <f t="shared" si="217"/>
        <v>0</v>
      </c>
      <c r="Z252" s="117">
        <f t="shared" si="217"/>
        <v>0</v>
      </c>
      <c r="AA252" s="117">
        <f t="shared" si="217"/>
        <v>0</v>
      </c>
      <c r="AB252" s="117">
        <f t="shared" si="217"/>
        <v>0</v>
      </c>
      <c r="AC252" s="117">
        <f t="shared" si="217"/>
        <v>0</v>
      </c>
      <c r="AD252" s="117">
        <f t="shared" si="217"/>
        <v>0</v>
      </c>
      <c r="AE252" s="115"/>
      <c r="AZ252" s="20"/>
    </row>
    <row r="253" spans="1:52" hidden="1">
      <c r="A253" s="1" t="str">
        <f>A251</f>
        <v>Uncheck to Hide</v>
      </c>
      <c r="B253" s="111"/>
      <c r="C253" s="118" t="str">
        <f>IF($E$9="CA","",$C$269)</f>
        <v>HEALTH INS. &amp; EMPL. BENEFITS</v>
      </c>
      <c r="D253" s="119"/>
      <c r="E253" s="120"/>
      <c r="F253" s="120"/>
      <c r="G253" s="120"/>
      <c r="H253" s="120"/>
      <c r="I253" s="120"/>
      <c r="J253" s="120"/>
      <c r="K253" s="120"/>
      <c r="L253" s="120"/>
      <c r="M253" s="120"/>
      <c r="N253" s="120"/>
      <c r="O253" s="120"/>
      <c r="P253" s="120"/>
      <c r="Q253" s="120"/>
      <c r="R253" s="120"/>
      <c r="S253" s="121">
        <f t="shared" ref="S253:AD253" si="218">IF(OR($E$9="CA",$E$9="CO",$E$9="OR",$E$9="WA"),0,IF($G246=0,0,$G246*$E$7*S$8/2+S248*$CC$6))</f>
        <v>0</v>
      </c>
      <c r="T253" s="121">
        <f t="shared" si="218"/>
        <v>0</v>
      </c>
      <c r="U253" s="121">
        <f t="shared" si="218"/>
        <v>0</v>
      </c>
      <c r="V253" s="121">
        <f t="shared" si="218"/>
        <v>0</v>
      </c>
      <c r="W253" s="121">
        <f t="shared" si="218"/>
        <v>0</v>
      </c>
      <c r="X253" s="121">
        <f t="shared" si="218"/>
        <v>0</v>
      </c>
      <c r="Y253" s="121">
        <f t="shared" si="218"/>
        <v>0</v>
      </c>
      <c r="Z253" s="121">
        <f t="shared" si="218"/>
        <v>0</v>
      </c>
      <c r="AA253" s="121">
        <f t="shared" si="218"/>
        <v>0</v>
      </c>
      <c r="AB253" s="121">
        <f t="shared" si="218"/>
        <v>0</v>
      </c>
      <c r="AC253" s="121">
        <f t="shared" si="218"/>
        <v>0</v>
      </c>
      <c r="AD253" s="121">
        <f t="shared" si="218"/>
        <v>0</v>
      </c>
      <c r="AE253" s="138"/>
    </row>
    <row r="254" spans="1:52" hidden="1">
      <c r="A254" s="1" t="str">
        <f>IF(F254+G254+H254+M254=0,"Uncheck to Hide","")</f>
        <v>Uncheck to Hide</v>
      </c>
      <c r="B254" s="74" t="str">
        <f>IF(C254="",CK$5,LOOKUP(C254,CH$3:CH$12,CK$3:CK$12))</f>
        <v>6980-010  ACTIVITY DIRECTOR PAYROLL</v>
      </c>
      <c r="C254" s="139" t="s">
        <v>33</v>
      </c>
      <c r="D254" s="76"/>
      <c r="E254" s="77"/>
      <c r="F254" s="78"/>
      <c r="G254" s="125"/>
      <c r="H254" s="80"/>
      <c r="I254" s="80">
        <v>15</v>
      </c>
      <c r="J254" s="81"/>
      <c r="K254" s="82"/>
      <c r="L254" s="83"/>
      <c r="M254" s="84">
        <f>ROUND(K254*(1+L254),2)</f>
        <v>0</v>
      </c>
      <c r="N254" s="85"/>
      <c r="O254" s="85"/>
      <c r="P254" s="86">
        <f>IF(SUM(S255:AD255)&gt;0,1,0)</f>
        <v>0</v>
      </c>
      <c r="Q254" s="87">
        <f>M254*N254*52</f>
        <v>0</v>
      </c>
      <c r="R254" s="88"/>
      <c r="S254" s="89">
        <f t="shared" ref="S254:AD254" si="219">IF(S255="",$M254*$N254*2*S$7+$P256*S$7+$O254*$M254*1.5*2*S$7+IF($O$10="Y",(SUMIF($CS$3:$DT$3,S$1,$CS$8:$DT$8)-SUMIF($CS$3:$DT$3,R$1,$CS$8:$DT$8))*($M254*$N254*2*S$7+$P256*S$7+$O254*$M254*1.5*2*S$7)/(S$7*14),0)+IF($O$11="Y",(SUMIF($CS$3:$DT$3,S$1,$CS$8:$DT$8)*CU$11-SUMIF($CS$3:$DT$3,R$1,$CS$8:$DT$8)*CT$11)*($M254*$N254*2*S$7+$P256*S$7+$O254*$M254*1.5*2*S$7)/(S$7*14),0),S255)</f>
        <v>0</v>
      </c>
      <c r="T254" s="89">
        <f t="shared" si="219"/>
        <v>0</v>
      </c>
      <c r="U254" s="89">
        <f t="shared" si="219"/>
        <v>0</v>
      </c>
      <c r="V254" s="89">
        <f t="shared" si="219"/>
        <v>0</v>
      </c>
      <c r="W254" s="89">
        <f t="shared" si="219"/>
        <v>0</v>
      </c>
      <c r="X254" s="89">
        <f t="shared" si="219"/>
        <v>0</v>
      </c>
      <c r="Y254" s="89">
        <f t="shared" si="219"/>
        <v>0</v>
      </c>
      <c r="Z254" s="89">
        <f t="shared" si="219"/>
        <v>0</v>
      </c>
      <c r="AA254" s="89">
        <f t="shared" si="219"/>
        <v>0</v>
      </c>
      <c r="AB254" s="89">
        <f t="shared" si="219"/>
        <v>0</v>
      </c>
      <c r="AC254" s="89">
        <f t="shared" si="219"/>
        <v>0</v>
      </c>
      <c r="AD254" s="89">
        <f t="shared" si="219"/>
        <v>0</v>
      </c>
      <c r="AE254" s="90">
        <f>SUM(S254:AD254)</f>
        <v>0</v>
      </c>
    </row>
    <row r="255" spans="1:52" hidden="1">
      <c r="A255" s="1" t="str">
        <f>A254</f>
        <v>Uncheck to Hide</v>
      </c>
      <c r="B255" s="92"/>
      <c r="C255" s="93"/>
      <c r="D255" s="93"/>
      <c r="E255" s="93"/>
      <c r="F255" s="93"/>
      <c r="G255" s="93"/>
      <c r="H255" s="93"/>
      <c r="I255" s="93"/>
      <c r="J255" s="93"/>
      <c r="K255" s="93"/>
      <c r="L255" s="93"/>
      <c r="M255" s="93"/>
      <c r="N255" s="93"/>
      <c r="O255" s="93"/>
      <c r="P255" s="93"/>
      <c r="Q255" s="93"/>
      <c r="R255" s="93"/>
      <c r="S255" s="94"/>
      <c r="T255" s="94"/>
      <c r="U255" s="94"/>
      <c r="V255" s="94"/>
      <c r="W255" s="94"/>
      <c r="X255" s="94"/>
      <c r="Y255" s="94"/>
      <c r="Z255" s="94"/>
      <c r="AA255" s="94"/>
      <c r="AB255" s="94"/>
      <c r="AC255" s="94"/>
      <c r="AD255" s="94"/>
      <c r="AE255" s="93"/>
    </row>
    <row r="256" spans="1:52" s="58" customFormat="1" hidden="1">
      <c r="A256" s="96" t="s">
        <v>113</v>
      </c>
      <c r="B256" s="129"/>
      <c r="C256" s="130"/>
      <c r="D256" s="131"/>
      <c r="E256" s="131"/>
      <c r="G256" s="131"/>
      <c r="H256" s="131"/>
      <c r="I256" s="131"/>
      <c r="J256" s="131"/>
      <c r="K256" s="131"/>
      <c r="L256" s="131"/>
      <c r="M256" s="133"/>
      <c r="N256" s="134"/>
      <c r="O256" s="134"/>
      <c r="P256" s="103">
        <f>+M254*N254*R254/AE$7</f>
        <v>0</v>
      </c>
      <c r="Q256" s="135"/>
      <c r="S256" s="106">
        <f t="shared" ref="S256:AD256" si="220">IF(S255&gt;0,S255-$P256*S$7,+S254-$P256*S$7)</f>
        <v>0</v>
      </c>
      <c r="T256" s="106">
        <f t="shared" si="220"/>
        <v>0</v>
      </c>
      <c r="U256" s="106">
        <f t="shared" si="220"/>
        <v>0</v>
      </c>
      <c r="V256" s="106">
        <f t="shared" si="220"/>
        <v>0</v>
      </c>
      <c r="W256" s="106">
        <f t="shared" si="220"/>
        <v>0</v>
      </c>
      <c r="X256" s="106">
        <f t="shared" si="220"/>
        <v>0</v>
      </c>
      <c r="Y256" s="106">
        <f t="shared" si="220"/>
        <v>0</v>
      </c>
      <c r="Z256" s="106">
        <f t="shared" si="220"/>
        <v>0</v>
      </c>
      <c r="AA256" s="106">
        <f t="shared" si="220"/>
        <v>0</v>
      </c>
      <c r="AB256" s="106">
        <f t="shared" si="220"/>
        <v>0</v>
      </c>
      <c r="AC256" s="106">
        <f t="shared" si="220"/>
        <v>0</v>
      </c>
      <c r="AD256" s="106">
        <f t="shared" si="220"/>
        <v>0</v>
      </c>
      <c r="AE256" s="136"/>
      <c r="AP256" s="108"/>
      <c r="AQ256" s="108"/>
      <c r="AR256" s="108"/>
      <c r="AS256" s="108"/>
    </row>
    <row r="257" spans="1:52" s="58" customFormat="1" hidden="1">
      <c r="A257" s="96" t="s">
        <v>113</v>
      </c>
      <c r="B257" s="129"/>
      <c r="C257" s="130"/>
      <c r="D257" s="131"/>
      <c r="E257" s="131"/>
      <c r="F257" s="131"/>
      <c r="G257" s="131"/>
      <c r="H257" s="131"/>
      <c r="I257" s="131"/>
      <c r="J257" s="131"/>
      <c r="K257" s="131"/>
      <c r="L257" s="131"/>
      <c r="M257" s="133"/>
      <c r="N257" s="134"/>
      <c r="O257" s="134"/>
      <c r="P257" s="131"/>
      <c r="Q257" s="135"/>
      <c r="R257" s="135"/>
      <c r="S257" s="137">
        <f>+S256</f>
        <v>0</v>
      </c>
      <c r="T257" s="137">
        <f t="shared" ref="T257:AD257" si="221">+T256+S257</f>
        <v>0</v>
      </c>
      <c r="U257" s="137">
        <f t="shared" si="221"/>
        <v>0</v>
      </c>
      <c r="V257" s="137">
        <f t="shared" si="221"/>
        <v>0</v>
      </c>
      <c r="W257" s="137">
        <f t="shared" si="221"/>
        <v>0</v>
      </c>
      <c r="X257" s="137">
        <f t="shared" si="221"/>
        <v>0</v>
      </c>
      <c r="Y257" s="137">
        <f t="shared" si="221"/>
        <v>0</v>
      </c>
      <c r="Z257" s="137">
        <f t="shared" si="221"/>
        <v>0</v>
      </c>
      <c r="AA257" s="137">
        <f t="shared" si="221"/>
        <v>0</v>
      </c>
      <c r="AB257" s="137">
        <f t="shared" si="221"/>
        <v>0</v>
      </c>
      <c r="AC257" s="137">
        <f t="shared" si="221"/>
        <v>0</v>
      </c>
      <c r="AD257" s="137">
        <f t="shared" si="221"/>
        <v>0</v>
      </c>
      <c r="AE257" s="136"/>
      <c r="AP257" s="108"/>
      <c r="AQ257" s="108"/>
      <c r="AR257" s="108"/>
      <c r="AS257" s="108"/>
    </row>
    <row r="258" spans="1:52" hidden="1">
      <c r="A258" s="1" t="str">
        <f>A255</f>
        <v>Uncheck to Hide</v>
      </c>
      <c r="B258" s="111"/>
      <c r="C258" s="112" t="s">
        <v>38</v>
      </c>
      <c r="D258" s="119"/>
      <c r="E258" s="120"/>
      <c r="F258" s="120"/>
      <c r="G258" s="120"/>
      <c r="H258" s="120"/>
      <c r="I258" s="120"/>
      <c r="J258" s="120"/>
      <c r="K258" s="120"/>
      <c r="L258" s="120"/>
      <c r="M258" s="120"/>
      <c r="N258" s="120"/>
      <c r="O258" s="120"/>
      <c r="P258" s="120"/>
      <c r="Q258" s="120"/>
      <c r="R258" s="120"/>
      <c r="S258" s="114">
        <f t="shared" ref="S258:AD258" si="222">IF($E$9="CA",IF(R257&lt;7000,$E$5*S256,($E$5-0.043)*S256),IF($E$9="IL",IF(R257&lt;12960,$E$5*S256,($E$5-0.04125)*S256),IF($E$9="PA",IF(R257&lt;10000,$E$5*S256,($E$5-0.071)*S256),IF($E$9="TX",IF(R257&lt;9000,$E$5*S256,($E$5-0.0363)*S256),$E$5*S256))))</f>
        <v>0</v>
      </c>
      <c r="T258" s="114">
        <f t="shared" si="222"/>
        <v>0</v>
      </c>
      <c r="U258" s="114">
        <f t="shared" si="222"/>
        <v>0</v>
      </c>
      <c r="V258" s="114">
        <f t="shared" si="222"/>
        <v>0</v>
      </c>
      <c r="W258" s="114">
        <f t="shared" si="222"/>
        <v>0</v>
      </c>
      <c r="X258" s="114">
        <f t="shared" si="222"/>
        <v>0</v>
      </c>
      <c r="Y258" s="114">
        <f t="shared" si="222"/>
        <v>0</v>
      </c>
      <c r="Z258" s="114">
        <f t="shared" si="222"/>
        <v>0</v>
      </c>
      <c r="AA258" s="114">
        <f t="shared" si="222"/>
        <v>0</v>
      </c>
      <c r="AB258" s="114">
        <f t="shared" si="222"/>
        <v>0</v>
      </c>
      <c r="AC258" s="114">
        <f t="shared" si="222"/>
        <v>0</v>
      </c>
      <c r="AD258" s="114">
        <f t="shared" si="222"/>
        <v>0</v>
      </c>
      <c r="AE258" s="138"/>
    </row>
    <row r="259" spans="1:52" hidden="1">
      <c r="A259" s="1" t="str">
        <f>A258</f>
        <v>Uncheck to Hide</v>
      </c>
      <c r="B259" s="111"/>
      <c r="C259" s="112" t="s">
        <v>114</v>
      </c>
      <c r="D259" s="113"/>
      <c r="E259" s="113"/>
      <c r="F259" s="140"/>
      <c r="G259" s="120"/>
      <c r="H259" s="120"/>
      <c r="I259" s="120"/>
      <c r="J259" s="120"/>
      <c r="K259" s="120"/>
      <c r="L259" s="120"/>
      <c r="M259" s="120"/>
      <c r="N259" s="120"/>
      <c r="O259" s="120"/>
      <c r="P259" s="120"/>
      <c r="Q259" s="120"/>
      <c r="R259" s="120"/>
      <c r="S259" s="117">
        <f t="shared" ref="S259:AD259" si="223">IF($E$9="WA",IF(S$1&lt;$G$6,$E$6*$N254*2*S$7+$CA$5*S256,$F$6*$N254*2*S$7+$CA$5*S256),IF($E$9="NV",IF(R257&gt;36000,0,IF(S$1&lt;$G$6,$E$6*S256,$F$6*S256)),IF(S$1&lt;$G$6,$E$6*S256,$F$6*S256)))</f>
        <v>0</v>
      </c>
      <c r="T259" s="117">
        <f t="shared" si="223"/>
        <v>0</v>
      </c>
      <c r="U259" s="117">
        <f t="shared" si="223"/>
        <v>0</v>
      </c>
      <c r="V259" s="117">
        <f t="shared" si="223"/>
        <v>0</v>
      </c>
      <c r="W259" s="117">
        <f t="shared" si="223"/>
        <v>0</v>
      </c>
      <c r="X259" s="117">
        <f t="shared" si="223"/>
        <v>0</v>
      </c>
      <c r="Y259" s="117">
        <f t="shared" si="223"/>
        <v>0</v>
      </c>
      <c r="Z259" s="117">
        <f t="shared" si="223"/>
        <v>0</v>
      </c>
      <c r="AA259" s="117">
        <f t="shared" si="223"/>
        <v>0</v>
      </c>
      <c r="AB259" s="117">
        <f t="shared" si="223"/>
        <v>0</v>
      </c>
      <c r="AC259" s="117">
        <f t="shared" si="223"/>
        <v>0</v>
      </c>
      <c r="AD259" s="117">
        <f t="shared" si="223"/>
        <v>0</v>
      </c>
      <c r="AE259" s="138"/>
    </row>
    <row r="260" spans="1:52" ht="13" hidden="1">
      <c r="A260" s="1" t="str">
        <f>A259</f>
        <v>Uncheck to Hide</v>
      </c>
      <c r="B260" s="111"/>
      <c r="C260" s="118" t="s">
        <v>86</v>
      </c>
      <c r="D260" s="113"/>
      <c r="E260" s="113"/>
      <c r="F260" s="113"/>
      <c r="G260" s="113"/>
      <c r="H260" s="113"/>
      <c r="I260" s="113"/>
      <c r="J260" s="113"/>
      <c r="K260" s="113"/>
      <c r="L260" s="113"/>
      <c r="M260" s="113"/>
      <c r="N260" s="113"/>
      <c r="O260" s="113"/>
      <c r="P260" s="113"/>
      <c r="Q260" s="113"/>
      <c r="R260" s="113"/>
      <c r="S260" s="117">
        <f t="shared" ref="S260:AD260" si="224">IF(S254=0,0,$H$11/26*S$7*IF(OR($G254=0,$G254=1),1,$G254))</f>
        <v>0</v>
      </c>
      <c r="T260" s="117">
        <f t="shared" si="224"/>
        <v>0</v>
      </c>
      <c r="U260" s="117">
        <f t="shared" si="224"/>
        <v>0</v>
      </c>
      <c r="V260" s="117">
        <f t="shared" si="224"/>
        <v>0</v>
      </c>
      <c r="W260" s="117">
        <f t="shared" si="224"/>
        <v>0</v>
      </c>
      <c r="X260" s="117">
        <f t="shared" si="224"/>
        <v>0</v>
      </c>
      <c r="Y260" s="117">
        <f t="shared" si="224"/>
        <v>0</v>
      </c>
      <c r="Z260" s="117">
        <f t="shared" si="224"/>
        <v>0</v>
      </c>
      <c r="AA260" s="117">
        <f t="shared" si="224"/>
        <v>0</v>
      </c>
      <c r="AB260" s="117">
        <f t="shared" si="224"/>
        <v>0</v>
      </c>
      <c r="AC260" s="117">
        <f t="shared" si="224"/>
        <v>0</v>
      </c>
      <c r="AD260" s="117">
        <f t="shared" si="224"/>
        <v>0</v>
      </c>
      <c r="AE260" s="115"/>
      <c r="AZ260" s="20"/>
    </row>
    <row r="261" spans="1:52" hidden="1">
      <c r="A261" s="1" t="str">
        <f>A259</f>
        <v>Uncheck to Hide</v>
      </c>
      <c r="B261" s="111"/>
      <c r="C261" s="118" t="str">
        <f>IF($E$9="CA","",$C$269)</f>
        <v>HEALTH INS. &amp; EMPL. BENEFITS</v>
      </c>
      <c r="D261" s="119"/>
      <c r="E261" s="120"/>
      <c r="F261" s="120"/>
      <c r="G261" s="120"/>
      <c r="H261" s="120"/>
      <c r="I261" s="120"/>
      <c r="J261" s="120"/>
      <c r="K261" s="120"/>
      <c r="L261" s="120"/>
      <c r="M261" s="120"/>
      <c r="N261" s="120"/>
      <c r="O261" s="120"/>
      <c r="P261" s="120"/>
      <c r="Q261" s="120"/>
      <c r="R261" s="120"/>
      <c r="S261" s="121">
        <f t="shared" ref="S261:AD261" si="225">IF(OR($E$9="CA",$E$9="CO",$E$9="OR",$E$9="WA"),0,IF($G254=0,0,$G254*$E$7*S$8/2+S256*$CC$6))</f>
        <v>0</v>
      </c>
      <c r="T261" s="121">
        <f t="shared" si="225"/>
        <v>0</v>
      </c>
      <c r="U261" s="121">
        <f t="shared" si="225"/>
        <v>0</v>
      </c>
      <c r="V261" s="121">
        <f t="shared" si="225"/>
        <v>0</v>
      </c>
      <c r="W261" s="121">
        <f t="shared" si="225"/>
        <v>0</v>
      </c>
      <c r="X261" s="121">
        <f t="shared" si="225"/>
        <v>0</v>
      </c>
      <c r="Y261" s="121">
        <f t="shared" si="225"/>
        <v>0</v>
      </c>
      <c r="Z261" s="121">
        <f t="shared" si="225"/>
        <v>0</v>
      </c>
      <c r="AA261" s="121">
        <f t="shared" si="225"/>
        <v>0</v>
      </c>
      <c r="AB261" s="121">
        <f t="shared" si="225"/>
        <v>0</v>
      </c>
      <c r="AC261" s="121">
        <f t="shared" si="225"/>
        <v>0</v>
      </c>
      <c r="AD261" s="121">
        <f t="shared" si="225"/>
        <v>0</v>
      </c>
      <c r="AE261" s="138"/>
    </row>
    <row r="262" spans="1:52">
      <c r="B262" s="111"/>
      <c r="C262" s="49"/>
      <c r="D262" s="141"/>
      <c r="E262" s="142">
        <f>SUM(E14:E239)+E246+E254</f>
        <v>0</v>
      </c>
      <c r="F262" s="143">
        <f>SUM(F14:F255)</f>
        <v>7</v>
      </c>
      <c r="G262" s="144">
        <f>SUM(G14:G255)</f>
        <v>7</v>
      </c>
      <c r="H262" s="143">
        <f>SUM(H14:H255)</f>
        <v>0</v>
      </c>
      <c r="I262" s="141"/>
      <c r="J262" s="141"/>
      <c r="K262" s="141"/>
      <c r="L262" s="141"/>
      <c r="M262" s="145"/>
      <c r="N262" s="146"/>
      <c r="O262" s="146"/>
      <c r="P262" s="147"/>
      <c r="Q262" s="148"/>
      <c r="R262" s="148"/>
      <c r="S262" s="149"/>
      <c r="T262" s="149"/>
      <c r="U262" s="149"/>
      <c r="V262" s="149"/>
      <c r="W262" s="149"/>
      <c r="X262" s="149"/>
      <c r="Y262" s="149"/>
      <c r="Z262" s="149"/>
      <c r="AA262" s="149"/>
      <c r="AB262" s="149"/>
      <c r="AC262" s="149"/>
      <c r="AD262" s="149"/>
      <c r="AE262" s="138"/>
    </row>
    <row r="263" spans="1:52">
      <c r="B263" s="111"/>
      <c r="C263" s="49"/>
      <c r="D263" s="141"/>
      <c r="E263" s="141"/>
      <c r="F263" s="141"/>
      <c r="G263" s="141"/>
      <c r="H263" s="141"/>
      <c r="I263" s="141"/>
      <c r="J263" s="141"/>
      <c r="K263" s="141"/>
      <c r="L263" s="141"/>
      <c r="M263" s="145"/>
      <c r="N263" s="146"/>
      <c r="O263" s="146"/>
      <c r="P263" s="147"/>
      <c r="Q263" s="148"/>
      <c r="R263" s="148"/>
      <c r="S263" s="149"/>
      <c r="T263" s="149"/>
      <c r="U263" s="149"/>
      <c r="V263" s="149"/>
      <c r="W263" s="149"/>
      <c r="X263" s="149"/>
      <c r="Y263" s="149"/>
      <c r="Z263" s="149"/>
      <c r="AA263" s="149"/>
      <c r="AB263" s="149"/>
      <c r="AC263" s="149"/>
      <c r="AD263" s="149"/>
      <c r="AE263" s="138"/>
    </row>
    <row r="264" spans="1:52" ht="18.75" customHeight="1">
      <c r="B264" s="150" t="s">
        <v>155</v>
      </c>
      <c r="C264" s="151" t="s">
        <v>156</v>
      </c>
      <c r="D264" s="152" t="str">
        <f>"The formulas for bonus in cells P219 to AA219 are based on $"&amp;'[1]Property Profile (Variables)'!G96&amp;" for each new lease and $"&amp;'[1]Property Profile (Variables)'!G98&amp;" for each renewal and the amounts entered in the table on the Property Profile (Variables) page.  If you would like to override these formulas enter the monthly amounts in cells P220 to AA220."</f>
        <v>The formulas for bonus in cells P219 to AA219 are based on $75 for each new lease and $50 for each renewal and the amounts entered in the table on the Property Profile (Variables) page.  If you would like to override these formulas enter the monthly amounts in cells P220 to AA220.</v>
      </c>
      <c r="E264" s="153"/>
      <c r="F264" s="153"/>
      <c r="G264" s="153"/>
      <c r="H264" s="153"/>
      <c r="I264" s="153"/>
      <c r="J264" s="153"/>
      <c r="K264" s="153"/>
      <c r="L264" s="153"/>
      <c r="M264" s="153"/>
      <c r="N264" s="153"/>
      <c r="O264" s="153"/>
      <c r="P264" s="153"/>
      <c r="Q264" s="153"/>
      <c r="R264" s="154"/>
      <c r="S264" s="155">
        <f>IF(S265="",'[1]Property Profile (Variables)'!D136,S265)</f>
        <v>450</v>
      </c>
      <c r="T264" s="155">
        <f>IF(T265="",'[1]Property Profile (Variables)'!E136,T265)</f>
        <v>450</v>
      </c>
      <c r="U264" s="155">
        <f>IF(U265="",'[1]Property Profile (Variables)'!F136,U265)</f>
        <v>950</v>
      </c>
      <c r="V264" s="155">
        <f>IF(V265="",'[1]Property Profile (Variables)'!G136,V265)</f>
        <v>1225</v>
      </c>
      <c r="W264" s="155">
        <f>IF(W265="",'[1]Property Profile (Variables)'!H136,W265)</f>
        <v>1125</v>
      </c>
      <c r="X264" s="155">
        <f>IF(X265="",'[1]Property Profile (Variables)'!I136,X265)</f>
        <v>1125</v>
      </c>
      <c r="Y264" s="155">
        <f>IF(Y265="",'[1]Property Profile (Variables)'!J136,Y265)</f>
        <v>1125</v>
      </c>
      <c r="Z264" s="155">
        <f>IF(Z265="",'[1]Property Profile (Variables)'!K136,Z265)</f>
        <v>1400</v>
      </c>
      <c r="AA264" s="155">
        <f>IF(AA265="",'[1]Property Profile (Variables)'!L136,AA265)</f>
        <v>1125</v>
      </c>
      <c r="AB264" s="155">
        <f>IF(AB265="",'[1]Property Profile (Variables)'!M136,AB265)</f>
        <v>1125</v>
      </c>
      <c r="AC264" s="155">
        <f>IF(AC265="",'[1]Property Profile (Variables)'!N136,AC265)</f>
        <v>1125</v>
      </c>
      <c r="AD264" s="155">
        <f>IF(AD265="",'[1]Property Profile (Variables)'!O136,AD265)</f>
        <v>6850</v>
      </c>
      <c r="AE264" s="90">
        <f>SUM(S264:AD264)</f>
        <v>18075</v>
      </c>
    </row>
    <row r="265" spans="1:52" ht="17.25" customHeight="1">
      <c r="B265" s="45"/>
      <c r="C265" s="156"/>
      <c r="D265" s="157"/>
      <c r="E265" s="157"/>
      <c r="F265" s="157"/>
      <c r="G265" s="157"/>
      <c r="H265" s="157"/>
      <c r="I265" s="157"/>
      <c r="J265" s="157"/>
      <c r="K265" s="157"/>
      <c r="L265" s="157"/>
      <c r="M265" s="157"/>
      <c r="N265" s="157"/>
      <c r="O265" s="157"/>
      <c r="P265" s="157"/>
      <c r="Q265" s="157"/>
      <c r="R265" s="158"/>
      <c r="S265" s="159"/>
      <c r="T265" s="159"/>
      <c r="U265" s="159"/>
      <c r="V265" s="159"/>
      <c r="W265" s="159"/>
      <c r="X265" s="159"/>
      <c r="Y265" s="159"/>
      <c r="Z265" s="159"/>
      <c r="AA265" s="159"/>
      <c r="AB265" s="159"/>
      <c r="AC265" s="159"/>
      <c r="AD265" s="159"/>
      <c r="AE265" s="93"/>
    </row>
    <row r="266" spans="1:52">
      <c r="B266" s="74" t="s">
        <v>157</v>
      </c>
      <c r="C266" s="151" t="s">
        <v>68</v>
      </c>
      <c r="D266" s="160"/>
      <c r="E266" s="6"/>
      <c r="F266" s="160"/>
      <c r="G266" s="160"/>
      <c r="H266" s="160"/>
      <c r="I266" s="160"/>
      <c r="J266" s="160"/>
      <c r="K266" s="160"/>
      <c r="L266" s="160"/>
      <c r="M266" s="160"/>
      <c r="N266" s="160"/>
      <c r="O266" s="160"/>
      <c r="P266" s="160"/>
      <c r="Q266" s="160"/>
      <c r="R266" s="160"/>
      <c r="S266" s="161">
        <f t="array" ref="S266">IF(S267="",SUMPRODUCT($F$14:$F$255*(S14:S255&gt;0))*$E$10,S267)</f>
        <v>256.62</v>
      </c>
      <c r="T266" s="161">
        <f t="array" ref="T266">IF(T267="",SUMPRODUCT($F$14:$F$255*(T14:T255&gt;0))*$E$10,T267)</f>
        <v>256.62</v>
      </c>
      <c r="U266" s="161">
        <f t="array" ref="U266">IF(U267="",SUMPRODUCT($F$14:$F$255*(U14:U255&gt;0))*$E$10,U267)</f>
        <v>256.62</v>
      </c>
      <c r="V266" s="161">
        <f t="array" ref="V266">IF(V267="",SUMPRODUCT($F$14:$F$255*(V14:V255&gt;0))*$E$10,V267)</f>
        <v>256.62</v>
      </c>
      <c r="W266" s="161">
        <f t="array" ref="W266">IF(W267="",SUMPRODUCT($F$14:$F$255*(W14:W255&gt;0))*$E$10,W267)</f>
        <v>256.62</v>
      </c>
      <c r="X266" s="161">
        <f t="array" ref="X266">IF(X267="",SUMPRODUCT($F$14:$F$255*(X14:X255&gt;0))*$E$10,X267)</f>
        <v>256.62</v>
      </c>
      <c r="Y266" s="161">
        <f t="array" ref="Y266">IF(Y267="",SUMPRODUCT($F$14:$F$255*(Y14:Y255&gt;0))*$E$10,Y267)</f>
        <v>256.62</v>
      </c>
      <c r="Z266" s="161">
        <f t="array" ref="Z266">IF(Z267="",SUMPRODUCT($F$14:$F$255*(Z14:Z255&gt;0))*$E$10,Z267)</f>
        <v>256.62</v>
      </c>
      <c r="AA266" s="161">
        <f t="array" ref="AA266">IF(AA267="",SUMPRODUCT($F$14:$F$255*(AA14:AA255&gt;0))*$E$10,AA267)</f>
        <v>256.62</v>
      </c>
      <c r="AB266" s="161">
        <f t="array" ref="AB266">IF(AB267="",SUMPRODUCT($F$14:$F$255*(AB14:AB255&gt;0))*$E$10,AB267)</f>
        <v>256.62</v>
      </c>
      <c r="AC266" s="161">
        <f t="array" ref="AC266">IF(AC267="",SUMPRODUCT($F$14:$F$255*(AC14:AC255&gt;0))*$E$10,AC267)</f>
        <v>256.62</v>
      </c>
      <c r="AD266" s="161">
        <f t="array" ref="AD266">IF(AD267="",SUMPRODUCT($F$14:$F$255*(AD14:AD255&gt;0))*$E$10,AD267)</f>
        <v>256.62</v>
      </c>
      <c r="AE266" s="90">
        <f>SUM(S266:AD266)</f>
        <v>3079.4399999999991</v>
      </c>
    </row>
    <row r="267" spans="1:52">
      <c r="B267" s="92"/>
      <c r="C267" s="156"/>
      <c r="D267" s="162"/>
      <c r="E267" s="162"/>
      <c r="F267" s="162"/>
      <c r="G267" s="162"/>
      <c r="H267" s="162"/>
      <c r="I267" s="162"/>
      <c r="J267" s="162"/>
      <c r="K267" s="162"/>
      <c r="L267" s="162"/>
      <c r="M267" s="162"/>
      <c r="N267" s="162"/>
      <c r="O267" s="162"/>
      <c r="P267" s="162"/>
      <c r="Q267" s="162"/>
      <c r="R267" s="162"/>
      <c r="S267" s="159"/>
      <c r="T267" s="159"/>
      <c r="U267" s="159"/>
      <c r="V267" s="159"/>
      <c r="W267" s="159"/>
      <c r="X267" s="159"/>
      <c r="Y267" s="159"/>
      <c r="Z267" s="159"/>
      <c r="AA267" s="159"/>
      <c r="AB267" s="159"/>
      <c r="AC267" s="159"/>
      <c r="AD267" s="159"/>
      <c r="AE267" s="93"/>
    </row>
    <row r="268" spans="1:52" ht="13">
      <c r="B268" s="111"/>
      <c r="C268" s="49"/>
      <c r="D268" s="49"/>
      <c r="E268" s="49"/>
      <c r="F268" s="49"/>
      <c r="G268" s="49"/>
      <c r="H268" s="49"/>
      <c r="I268" s="49"/>
      <c r="J268" s="49"/>
      <c r="K268" s="49"/>
      <c r="L268" s="49"/>
      <c r="M268" s="49"/>
      <c r="N268" s="49"/>
      <c r="O268" s="49"/>
      <c r="P268" s="53"/>
      <c r="Q268" s="49"/>
      <c r="R268" s="49"/>
      <c r="S268" s="163"/>
    </row>
    <row r="269" spans="1:52">
      <c r="B269" s="149" t="s">
        <v>158</v>
      </c>
      <c r="C269" s="151" t="s">
        <v>159</v>
      </c>
      <c r="D269" s="153"/>
      <c r="E269" s="153"/>
      <c r="F269" s="153"/>
      <c r="G269" s="153"/>
      <c r="H269" s="153"/>
      <c r="I269" s="153"/>
      <c r="J269" s="153"/>
      <c r="K269" s="153"/>
      <c r="L269" s="153"/>
      <c r="M269" s="153"/>
      <c r="N269" s="153"/>
      <c r="O269" s="153"/>
      <c r="P269" s="153"/>
      <c r="Q269" s="153"/>
      <c r="R269" s="153"/>
      <c r="S269" s="155">
        <f t="shared" ref="S269:AD269" si="226">IF(S270="",IF(OR($E$9="CA",$E$9="CO",$E$9="OR",$E$9="WA"),$E$7*$G$262*S8/2,S21+S29+S37+S45+S53+S61+S69+S77+S85+S93+S101+S109+S117+S125+S133+S141+S149+S157+S165+S173+S181+S189+S197+S205+S213+S221+S229+S237+S245+S253+S261),S270)</f>
        <v>3752.5250000000005</v>
      </c>
      <c r="T269" s="155">
        <f t="shared" si="226"/>
        <v>7505.0500000000011</v>
      </c>
      <c r="U269" s="155">
        <f t="shared" si="226"/>
        <v>7505.0500000000011</v>
      </c>
      <c r="V269" s="155">
        <f t="shared" si="226"/>
        <v>7505.0500000000011</v>
      </c>
      <c r="W269" s="155">
        <f t="shared" si="226"/>
        <v>7505.0500000000011</v>
      </c>
      <c r="X269" s="155">
        <f t="shared" si="226"/>
        <v>7505.0500000000011</v>
      </c>
      <c r="Y269" s="155">
        <f t="shared" si="226"/>
        <v>7505.0500000000011</v>
      </c>
      <c r="Z269" s="155">
        <f t="shared" si="226"/>
        <v>7505.0500000000011</v>
      </c>
      <c r="AA269" s="155">
        <f t="shared" si="226"/>
        <v>7505.0500000000011</v>
      </c>
      <c r="AB269" s="155">
        <f t="shared" si="226"/>
        <v>7505.0500000000011</v>
      </c>
      <c r="AC269" s="155">
        <f t="shared" si="226"/>
        <v>7505.0500000000011</v>
      </c>
      <c r="AD269" s="155">
        <f t="shared" si="226"/>
        <v>11257.575000000001</v>
      </c>
      <c r="AE269" s="90">
        <f>AE316</f>
        <v>90060.60000000002</v>
      </c>
    </row>
    <row r="270" spans="1:52">
      <c r="C270" s="156"/>
      <c r="D270" s="157"/>
      <c r="E270" s="157"/>
      <c r="F270" s="157"/>
      <c r="G270" s="157"/>
      <c r="H270" s="157"/>
      <c r="I270" s="157"/>
      <c r="J270" s="157"/>
      <c r="K270" s="157"/>
      <c r="L270" s="157"/>
      <c r="M270" s="157"/>
      <c r="N270" s="157"/>
      <c r="O270" s="157"/>
      <c r="P270" s="157"/>
      <c r="Q270" s="157"/>
      <c r="R270" s="157"/>
      <c r="S270" s="164"/>
      <c r="T270" s="164"/>
      <c r="U270" s="164"/>
      <c r="V270" s="164"/>
      <c r="W270" s="164"/>
      <c r="X270" s="164"/>
      <c r="Y270" s="164"/>
      <c r="Z270" s="164"/>
      <c r="AA270" s="164"/>
      <c r="AB270" s="164"/>
      <c r="AC270" s="164"/>
      <c r="AD270" s="164"/>
      <c r="AE270" s="93"/>
    </row>
    <row r="271" spans="1:52">
      <c r="S271" s="91"/>
    </row>
    <row r="272" spans="1:52" ht="13.9" customHeight="1" thickBot="1"/>
    <row r="273" spans="1:31" ht="13.9" customHeight="1" thickTop="1">
      <c r="G273" s="6" t="s">
        <v>160</v>
      </c>
      <c r="S273" s="54" t="str">
        <f t="shared" ref="S273:AE273" si="227">S298</f>
        <v>Jan</v>
      </c>
      <c r="T273" s="54" t="str">
        <f t="shared" si="227"/>
        <v>Feb</v>
      </c>
      <c r="U273" s="54" t="str">
        <f t="shared" si="227"/>
        <v>Mar</v>
      </c>
      <c r="V273" s="54" t="str">
        <f t="shared" si="227"/>
        <v>Apr</v>
      </c>
      <c r="W273" s="54" t="str">
        <f t="shared" si="227"/>
        <v>May</v>
      </c>
      <c r="X273" s="54" t="str">
        <f t="shared" si="227"/>
        <v>Jun</v>
      </c>
      <c r="Y273" s="54" t="str">
        <f t="shared" si="227"/>
        <v>Jul</v>
      </c>
      <c r="Z273" s="54" t="str">
        <f t="shared" si="227"/>
        <v>Aug</v>
      </c>
      <c r="AA273" s="54" t="str">
        <f t="shared" si="227"/>
        <v>Sep</v>
      </c>
      <c r="AB273" s="54" t="str">
        <f t="shared" si="227"/>
        <v>Oct</v>
      </c>
      <c r="AC273" s="54" t="str">
        <f t="shared" si="227"/>
        <v>Nov</v>
      </c>
      <c r="AD273" s="54" t="str">
        <f t="shared" si="227"/>
        <v>Dec</v>
      </c>
      <c r="AE273" s="54" t="str">
        <f t="shared" si="227"/>
        <v>Total</v>
      </c>
    </row>
    <row r="274" spans="1:31" hidden="1">
      <c r="A274" s="1" t="str">
        <f>IF(AE274=0,"Uncheck to Hide","")</f>
        <v/>
      </c>
      <c r="G274" s="3" t="str">
        <f>G299&amp;" - Cell Phone Reimbursement"</f>
        <v>6330-000  MANAGEMENT SALARIES - Cell Phone Reimbursement</v>
      </c>
      <c r="S274" s="165">
        <f t="array" ref="S274">SUMPRODUCT(($B$14:$B$255=$G$299)*$G$14:$G$255*$I$14:$I$255)*IFERROR(SUMPRODUCT(($B$14:$B$255=$G$299)*S$14:S$255)/SUMPRODUCT(($B$14:$B$255=$G$299)*S$14:S$255),0)</f>
        <v>35</v>
      </c>
      <c r="T274" s="165">
        <f t="array" ref="T274">SUMPRODUCT(($B$14:$B$255=$G$299)*$G$14:$G$255*$I$14:$I$255)*IFERROR(SUMPRODUCT(($B$14:$B$255=$G$299)*T$14:T$255)/SUMPRODUCT(($B$14:$B$255=$G$299)*T$14:T$255),0)</f>
        <v>35</v>
      </c>
      <c r="U274" s="165">
        <f t="array" ref="U274">SUMPRODUCT(($B$14:$B$255=$G$299)*$G$14:$G$255*$I$14:$I$255)*IFERROR(SUMPRODUCT(($B$14:$B$255=$G$299)*U$14:U$255)/SUMPRODUCT(($B$14:$B$255=$G$299)*U$14:U$255),0)</f>
        <v>35</v>
      </c>
      <c r="V274" s="165">
        <f t="array" ref="V274">SUMPRODUCT(($B$14:$B$255=$G$299)*$G$14:$G$255*$I$14:$I$255)*IFERROR(SUMPRODUCT(($B$14:$B$255=$G$299)*V$14:V$255)/SUMPRODUCT(($B$14:$B$255=$G$299)*V$14:V$255),0)</f>
        <v>35</v>
      </c>
      <c r="W274" s="165">
        <f t="array" ref="W274">SUMPRODUCT(($B$14:$B$255=$G$299)*$G$14:$G$255*$I$14:$I$255)*IFERROR(SUMPRODUCT(($B$14:$B$255=$G$299)*W$14:W$255)/SUMPRODUCT(($B$14:$B$255=$G$299)*W$14:W$255),0)</f>
        <v>35</v>
      </c>
      <c r="X274" s="165">
        <f t="array" ref="X274">SUMPRODUCT(($B$14:$B$255=$G$299)*$G$14:$G$255*$I$14:$I$255)*IFERROR(SUMPRODUCT(($B$14:$B$255=$G$299)*X$14:X$255)/SUMPRODUCT(($B$14:$B$255=$G$299)*X$14:X$255),0)</f>
        <v>35</v>
      </c>
      <c r="Y274" s="165">
        <f t="array" ref="Y274">SUMPRODUCT(($B$14:$B$255=$G$299)*$G$14:$G$255*$I$14:$I$255)*IFERROR(SUMPRODUCT(($B$14:$B$255=$G$299)*Y$14:Y$255)/SUMPRODUCT(($B$14:$B$255=$G$299)*Y$14:Y$255),0)</f>
        <v>35</v>
      </c>
      <c r="Z274" s="165">
        <f t="array" ref="Z274">SUMPRODUCT(($B$14:$B$255=$G$299)*$G$14:$G$255*$I$14:$I$255)*IFERROR(SUMPRODUCT(($B$14:$B$255=$G$299)*Z$14:Z$255)/SUMPRODUCT(($B$14:$B$255=$G$299)*Z$14:Z$255),0)</f>
        <v>35</v>
      </c>
      <c r="AA274" s="165">
        <f t="array" ref="AA274">SUMPRODUCT(($B$14:$B$255=$G$299)*$G$14:$G$255*$I$14:$I$255)*IFERROR(SUMPRODUCT(($B$14:$B$255=$G$299)*AA$14:AA$255)/SUMPRODUCT(($B$14:$B$255=$G$299)*AA$14:AA$255),0)</f>
        <v>35</v>
      </c>
      <c r="AB274" s="165">
        <f t="array" ref="AB274">SUMPRODUCT(($B$14:$B$255=$G$299)*$G$14:$G$255*$I$14:$I$255)*IFERROR(SUMPRODUCT(($B$14:$B$255=$G$299)*AB$14:AB$255)/SUMPRODUCT(($B$14:$B$255=$G$299)*AB$14:AB$255),0)</f>
        <v>35</v>
      </c>
      <c r="AC274" s="165">
        <f t="array" ref="AC274">SUMPRODUCT(($B$14:$B$255=$G$299)*$G$14:$G$255*$I$14:$I$255)*IFERROR(SUMPRODUCT(($B$14:$B$255=$G$299)*AC$14:AC$255)/SUMPRODUCT(($B$14:$B$255=$G$299)*AC$14:AC$255),0)</f>
        <v>35</v>
      </c>
      <c r="AD274" s="165">
        <f t="array" ref="AD274">SUMPRODUCT(($B$14:$B$255=$G$299)*$G$14:$G$255*$I$14:$I$255)*IFERROR(SUMPRODUCT(($B$14:$B$255=$G$299)*AD$14:AD$255)/SUMPRODUCT(($B$14:$B$255=$G$299)*AD$14:AD$255),0)</f>
        <v>35</v>
      </c>
      <c r="AE274" s="90">
        <f>SUM(S274:AD274)</f>
        <v>420</v>
      </c>
    </row>
    <row r="275" spans="1:31" hidden="1">
      <c r="A275" s="1" t="str">
        <f>A274</f>
        <v/>
      </c>
      <c r="G275" s="6"/>
      <c r="S275" s="166"/>
      <c r="T275" s="166"/>
      <c r="U275" s="166"/>
      <c r="V275" s="166"/>
      <c r="W275" s="166"/>
      <c r="X275" s="166"/>
      <c r="Y275" s="166"/>
      <c r="Z275" s="166"/>
      <c r="AA275" s="166"/>
      <c r="AB275" s="166"/>
      <c r="AC275" s="166"/>
      <c r="AD275" s="166"/>
      <c r="AE275" s="93"/>
    </row>
    <row r="276" spans="1:31" hidden="1">
      <c r="A276" s="1" t="str">
        <f>IF(AE276=0,"Uncheck to Hide","")</f>
        <v/>
      </c>
      <c r="G276" s="3" t="str">
        <f>G300&amp;" - Cell Phone Reimbursement"</f>
        <v>6330-100  ASST MANAGER SALARY - Cell Phone Reimbursement</v>
      </c>
      <c r="S276" s="165">
        <f t="array" ref="S276">SUMPRODUCT(($B$14:$B$255=$G$300)*$G$14:$G$255*$I$14:$I$255)*IFERROR(SUMPRODUCT(($B$14:$B$255=$G$300)*S$14:S$255)/SUMPRODUCT(($B$14:$B$255=$G$300)*S$14:S$255),0)</f>
        <v>25</v>
      </c>
      <c r="T276" s="165">
        <f t="array" ref="T276">SUMPRODUCT(($B$14:$B$255=$G$300)*$G$14:$G$255*$I$14:$I$255)*IFERROR(SUMPRODUCT(($B$14:$B$255=$G$300)*T$14:T$255)/SUMPRODUCT(($B$14:$B$255=$G$300)*T$14:T$255),0)</f>
        <v>25</v>
      </c>
      <c r="U276" s="165">
        <f t="array" ref="U276">SUMPRODUCT(($B$14:$B$255=$G$300)*$G$14:$G$255*$I$14:$I$255)*IFERROR(SUMPRODUCT(($B$14:$B$255=$G$300)*U$14:U$255)/SUMPRODUCT(($B$14:$B$255=$G$300)*U$14:U$255),0)</f>
        <v>25</v>
      </c>
      <c r="V276" s="165">
        <f t="array" ref="V276">SUMPRODUCT(($B$14:$B$255=$G$300)*$G$14:$G$255*$I$14:$I$255)*IFERROR(SUMPRODUCT(($B$14:$B$255=$G$300)*V$14:V$255)/SUMPRODUCT(($B$14:$B$255=$G$300)*V$14:V$255),0)</f>
        <v>25</v>
      </c>
      <c r="W276" s="165">
        <f t="array" ref="W276">SUMPRODUCT(($B$14:$B$255=$G$300)*$G$14:$G$255*$I$14:$I$255)*IFERROR(SUMPRODUCT(($B$14:$B$255=$G$300)*W$14:W$255)/SUMPRODUCT(($B$14:$B$255=$G$300)*W$14:W$255),0)</f>
        <v>25</v>
      </c>
      <c r="X276" s="165">
        <f t="array" ref="X276">SUMPRODUCT(($B$14:$B$255=$G$300)*$G$14:$G$255*$I$14:$I$255)*IFERROR(SUMPRODUCT(($B$14:$B$255=$G$300)*X$14:X$255)/SUMPRODUCT(($B$14:$B$255=$G$300)*X$14:X$255),0)</f>
        <v>25</v>
      </c>
      <c r="Y276" s="165">
        <f t="array" ref="Y276">SUMPRODUCT(($B$14:$B$255=$G$300)*$G$14:$G$255*$I$14:$I$255)*IFERROR(SUMPRODUCT(($B$14:$B$255=$G$300)*Y$14:Y$255)/SUMPRODUCT(($B$14:$B$255=$G$300)*Y$14:Y$255),0)</f>
        <v>25</v>
      </c>
      <c r="Z276" s="165">
        <f t="array" ref="Z276">SUMPRODUCT(($B$14:$B$255=$G$300)*$G$14:$G$255*$I$14:$I$255)*IFERROR(SUMPRODUCT(($B$14:$B$255=$G$300)*Z$14:Z$255)/SUMPRODUCT(($B$14:$B$255=$G$300)*Z$14:Z$255),0)</f>
        <v>25</v>
      </c>
      <c r="AA276" s="165">
        <f t="array" ref="AA276">SUMPRODUCT(($B$14:$B$255=$G$300)*$G$14:$G$255*$I$14:$I$255)*IFERROR(SUMPRODUCT(($B$14:$B$255=$G$300)*AA$14:AA$255)/SUMPRODUCT(($B$14:$B$255=$G$300)*AA$14:AA$255),0)</f>
        <v>25</v>
      </c>
      <c r="AB276" s="165">
        <f t="array" ref="AB276">SUMPRODUCT(($B$14:$B$255=$G$300)*$G$14:$G$255*$I$14:$I$255)*IFERROR(SUMPRODUCT(($B$14:$B$255=$G$300)*AB$14:AB$255)/SUMPRODUCT(($B$14:$B$255=$G$300)*AB$14:AB$255),0)</f>
        <v>25</v>
      </c>
      <c r="AC276" s="165">
        <f t="array" ref="AC276">SUMPRODUCT(($B$14:$B$255=$G$300)*$G$14:$G$255*$I$14:$I$255)*IFERROR(SUMPRODUCT(($B$14:$B$255=$G$300)*AC$14:AC$255)/SUMPRODUCT(($B$14:$B$255=$G$300)*AC$14:AC$255),0)</f>
        <v>25</v>
      </c>
      <c r="AD276" s="165">
        <f t="array" ref="AD276">SUMPRODUCT(($B$14:$B$255=$G$300)*$G$14:$G$255*$I$14:$I$255)*IFERROR(SUMPRODUCT(($B$14:$B$255=$G$300)*AD$14:AD$255)/SUMPRODUCT(($B$14:$B$255=$G$300)*AD$14:AD$255),0)</f>
        <v>25</v>
      </c>
      <c r="AE276" s="90">
        <f>SUM(S276:AD276)</f>
        <v>300</v>
      </c>
    </row>
    <row r="277" spans="1:31" hidden="1">
      <c r="A277" s="1" t="str">
        <f>A276</f>
        <v/>
      </c>
      <c r="S277" s="166"/>
      <c r="T277" s="166"/>
      <c r="U277" s="166"/>
      <c r="V277" s="166"/>
      <c r="W277" s="166"/>
      <c r="X277" s="166"/>
      <c r="Y277" s="166"/>
      <c r="Z277" s="166"/>
      <c r="AA277" s="166"/>
      <c r="AB277" s="166"/>
      <c r="AC277" s="166"/>
      <c r="AD277" s="166"/>
      <c r="AE277" s="93"/>
    </row>
    <row r="278" spans="1:31" hidden="1">
      <c r="A278" s="1" t="str">
        <f>IF(AE278=0,"Uncheck to Hide","")</f>
        <v/>
      </c>
      <c r="G278" s="3" t="str">
        <f>G301&amp;" - Cell Phone Reimbursement"</f>
        <v>6330-200  LEASING SALARY - Cell Phone Reimbursement</v>
      </c>
      <c r="S278" s="165">
        <f t="array" ref="S278">SUMPRODUCT(($B$14:$B$255=$G$301)*$G$14:$G$255*$I$14:$I$255)*IFERROR(SUMPRODUCT(($B$14:$B$255=$G$301)*S$14:S$255)/SUMPRODUCT(($B$14:$B$255=$G$301)*S$14:S$255),0)</f>
        <v>15</v>
      </c>
      <c r="T278" s="165">
        <f t="array" ref="T278">SUMPRODUCT(($B$14:$B$255=$G$301)*$G$14:$G$255*$I$14:$I$255)*IFERROR(SUMPRODUCT(($B$14:$B$255=$G$301)*T$14:T$255)/SUMPRODUCT(($B$14:$B$255=$G$301)*T$14:T$255),0)</f>
        <v>15</v>
      </c>
      <c r="U278" s="165">
        <f t="array" ref="U278">SUMPRODUCT(($B$14:$B$255=$G$301)*$G$14:$G$255*$I$14:$I$255)*IFERROR(SUMPRODUCT(($B$14:$B$255=$G$301)*U$14:U$255)/SUMPRODUCT(($B$14:$B$255=$G$301)*U$14:U$255),0)</f>
        <v>15</v>
      </c>
      <c r="V278" s="165">
        <f t="array" ref="V278">SUMPRODUCT(($B$14:$B$255=$G$301)*$G$14:$G$255*$I$14:$I$255)*IFERROR(SUMPRODUCT(($B$14:$B$255=$G$301)*V$14:V$255)/SUMPRODUCT(($B$14:$B$255=$G$301)*V$14:V$255),0)</f>
        <v>15</v>
      </c>
      <c r="W278" s="165">
        <f t="array" ref="W278">SUMPRODUCT(($B$14:$B$255=$G$301)*$G$14:$G$255*$I$14:$I$255)*IFERROR(SUMPRODUCT(($B$14:$B$255=$G$301)*W$14:W$255)/SUMPRODUCT(($B$14:$B$255=$G$301)*W$14:W$255),0)</f>
        <v>15</v>
      </c>
      <c r="X278" s="165">
        <f t="array" ref="X278">SUMPRODUCT(($B$14:$B$255=$G$301)*$G$14:$G$255*$I$14:$I$255)*IFERROR(SUMPRODUCT(($B$14:$B$255=$G$301)*X$14:X$255)/SUMPRODUCT(($B$14:$B$255=$G$301)*X$14:X$255),0)</f>
        <v>15</v>
      </c>
      <c r="Y278" s="165">
        <f t="array" ref="Y278">SUMPRODUCT(($B$14:$B$255=$G$301)*$G$14:$G$255*$I$14:$I$255)*IFERROR(SUMPRODUCT(($B$14:$B$255=$G$301)*Y$14:Y$255)/SUMPRODUCT(($B$14:$B$255=$G$301)*Y$14:Y$255),0)</f>
        <v>15</v>
      </c>
      <c r="Z278" s="165">
        <f t="array" ref="Z278">SUMPRODUCT(($B$14:$B$255=$G$301)*$G$14:$G$255*$I$14:$I$255)*IFERROR(SUMPRODUCT(($B$14:$B$255=$G$301)*Z$14:Z$255)/SUMPRODUCT(($B$14:$B$255=$G$301)*Z$14:Z$255),0)</f>
        <v>15</v>
      </c>
      <c r="AA278" s="165">
        <f t="array" ref="AA278">SUMPRODUCT(($B$14:$B$255=$G$301)*$G$14:$G$255*$I$14:$I$255)*IFERROR(SUMPRODUCT(($B$14:$B$255=$G$301)*AA$14:AA$255)/SUMPRODUCT(($B$14:$B$255=$G$301)*AA$14:AA$255),0)</f>
        <v>15</v>
      </c>
      <c r="AB278" s="165">
        <f t="array" ref="AB278">SUMPRODUCT(($B$14:$B$255=$G$301)*$G$14:$G$255*$I$14:$I$255)*IFERROR(SUMPRODUCT(($B$14:$B$255=$G$301)*AB$14:AB$255)/SUMPRODUCT(($B$14:$B$255=$G$301)*AB$14:AB$255),0)</f>
        <v>15</v>
      </c>
      <c r="AC278" s="165">
        <f t="array" ref="AC278">SUMPRODUCT(($B$14:$B$255=$G$301)*$G$14:$G$255*$I$14:$I$255)*IFERROR(SUMPRODUCT(($B$14:$B$255=$G$301)*AC$14:AC$255)/SUMPRODUCT(($B$14:$B$255=$G$301)*AC$14:AC$255),0)</f>
        <v>15</v>
      </c>
      <c r="AD278" s="165">
        <f t="array" ref="AD278">SUMPRODUCT(($B$14:$B$255=$G$301)*$G$14:$G$255*$I$14:$I$255)*IFERROR(SUMPRODUCT(($B$14:$B$255=$G$301)*AD$14:AD$255)/SUMPRODUCT(($B$14:$B$255=$G$301)*AD$14:AD$255),0)</f>
        <v>15</v>
      </c>
      <c r="AE278" s="90">
        <f>SUM(S278:AD278)</f>
        <v>180</v>
      </c>
    </row>
    <row r="279" spans="1:31" hidden="1">
      <c r="A279" s="1" t="str">
        <f>A278</f>
        <v/>
      </c>
      <c r="G279" s="6"/>
      <c r="S279" s="166"/>
      <c r="T279" s="166"/>
      <c r="U279" s="166"/>
      <c r="V279" s="166"/>
      <c r="W279" s="166"/>
      <c r="X279" s="166"/>
      <c r="Y279" s="166"/>
      <c r="Z279" s="166"/>
      <c r="AA279" s="166"/>
      <c r="AB279" s="166"/>
      <c r="AC279" s="166"/>
      <c r="AD279" s="166"/>
      <c r="AE279" s="93"/>
    </row>
    <row r="280" spans="1:31" hidden="1">
      <c r="A280" s="1" t="str">
        <f>IF(AE280=0,"Uncheck to Hide","")</f>
        <v/>
      </c>
      <c r="G280" s="3" t="str">
        <f>G303&amp;" - Cell Phone Reimbursement"</f>
        <v>6500-100  MAINT. SUPERVISOR - SALARY - Cell Phone Reimbursement</v>
      </c>
      <c r="S280" s="165">
        <f t="array" ref="S280">SUMPRODUCT(($B$14:$B$255=$G$303)*$G$14:$G$255*$I$14:$I$255)*IFERROR(SUMPRODUCT(($B$14:$B$255=$G$303)*S$14:S$255)/SUMPRODUCT(($B$14:$B$255=$G$303)*S$14:S$255),0)</f>
        <v>35</v>
      </c>
      <c r="T280" s="165">
        <f t="array" ref="T280">SUMPRODUCT(($B$14:$B$255=$G$303)*$G$14:$G$255*$I$14:$I$255)*IFERROR(SUMPRODUCT(($B$14:$B$255=$G$303)*T$14:T$255)/SUMPRODUCT(($B$14:$B$255=$G$303)*T$14:T$255),0)</f>
        <v>35</v>
      </c>
      <c r="U280" s="165">
        <f t="array" ref="U280">SUMPRODUCT(($B$14:$B$255=$G$303)*$G$14:$G$255*$I$14:$I$255)*IFERROR(SUMPRODUCT(($B$14:$B$255=$G$303)*U$14:U$255)/SUMPRODUCT(($B$14:$B$255=$G$303)*U$14:U$255),0)</f>
        <v>35</v>
      </c>
      <c r="V280" s="165">
        <f t="array" ref="V280">SUMPRODUCT(($B$14:$B$255=$G$303)*$G$14:$G$255*$I$14:$I$255)*IFERROR(SUMPRODUCT(($B$14:$B$255=$G$303)*V$14:V$255)/SUMPRODUCT(($B$14:$B$255=$G$303)*V$14:V$255),0)</f>
        <v>35</v>
      </c>
      <c r="W280" s="165">
        <f t="array" ref="W280">SUMPRODUCT(($B$14:$B$255=$G$303)*$G$14:$G$255*$I$14:$I$255)*IFERROR(SUMPRODUCT(($B$14:$B$255=$G$303)*W$14:W$255)/SUMPRODUCT(($B$14:$B$255=$G$303)*W$14:W$255),0)</f>
        <v>35</v>
      </c>
      <c r="X280" s="165">
        <f t="array" ref="X280">SUMPRODUCT(($B$14:$B$255=$G$303)*$G$14:$G$255*$I$14:$I$255)*IFERROR(SUMPRODUCT(($B$14:$B$255=$G$303)*X$14:X$255)/SUMPRODUCT(($B$14:$B$255=$G$303)*X$14:X$255),0)</f>
        <v>35</v>
      </c>
      <c r="Y280" s="165">
        <f t="array" ref="Y280">SUMPRODUCT(($B$14:$B$255=$G$303)*$G$14:$G$255*$I$14:$I$255)*IFERROR(SUMPRODUCT(($B$14:$B$255=$G$303)*Y$14:Y$255)/SUMPRODUCT(($B$14:$B$255=$G$303)*Y$14:Y$255),0)</f>
        <v>35</v>
      </c>
      <c r="Z280" s="165">
        <f t="array" ref="Z280">SUMPRODUCT(($B$14:$B$255=$G$303)*$G$14:$G$255*$I$14:$I$255)*IFERROR(SUMPRODUCT(($B$14:$B$255=$G$303)*Z$14:Z$255)/SUMPRODUCT(($B$14:$B$255=$G$303)*Z$14:Z$255),0)</f>
        <v>35</v>
      </c>
      <c r="AA280" s="165">
        <f t="array" ref="AA280">SUMPRODUCT(($B$14:$B$255=$G$303)*$G$14:$G$255*$I$14:$I$255)*IFERROR(SUMPRODUCT(($B$14:$B$255=$G$303)*AA$14:AA$255)/SUMPRODUCT(($B$14:$B$255=$G$303)*AA$14:AA$255),0)</f>
        <v>35</v>
      </c>
      <c r="AB280" s="165">
        <f t="array" ref="AB280">SUMPRODUCT(($B$14:$B$255=$G$303)*$G$14:$G$255*$I$14:$I$255)*IFERROR(SUMPRODUCT(($B$14:$B$255=$G$303)*AB$14:AB$255)/SUMPRODUCT(($B$14:$B$255=$G$303)*AB$14:AB$255),0)</f>
        <v>35</v>
      </c>
      <c r="AC280" s="165">
        <f t="array" ref="AC280">SUMPRODUCT(($B$14:$B$255=$G$303)*$G$14:$G$255*$I$14:$I$255)*IFERROR(SUMPRODUCT(($B$14:$B$255=$G$303)*AC$14:AC$255)/SUMPRODUCT(($B$14:$B$255=$G$303)*AC$14:AC$255),0)</f>
        <v>35</v>
      </c>
      <c r="AD280" s="165">
        <f t="array" ref="AD280">SUMPRODUCT(($B$14:$B$255=$G$303)*$G$14:$G$255*$I$14:$I$255)*IFERROR(SUMPRODUCT(($B$14:$B$255=$G$303)*AD$14:AD$255)/SUMPRODUCT(($B$14:$B$255=$G$303)*AD$14:AD$255),0)</f>
        <v>35</v>
      </c>
      <c r="AE280" s="90">
        <f>SUM(S280:AD280)</f>
        <v>420</v>
      </c>
    </row>
    <row r="281" spans="1:31" hidden="1">
      <c r="A281" s="1" t="str">
        <f>A280</f>
        <v/>
      </c>
      <c r="G281" s="6"/>
      <c r="S281" s="166"/>
      <c r="T281" s="166"/>
      <c r="U281" s="166"/>
      <c r="V281" s="166"/>
      <c r="W281" s="166"/>
      <c r="X281" s="166"/>
      <c r="Y281" s="166"/>
      <c r="Z281" s="166"/>
      <c r="AA281" s="166"/>
      <c r="AB281" s="166"/>
      <c r="AC281" s="166"/>
      <c r="AD281" s="166"/>
      <c r="AE281" s="93"/>
    </row>
    <row r="282" spans="1:31" hidden="1">
      <c r="A282" s="1" t="str">
        <f>IF(AE282=0,"Uncheck to Hide","")</f>
        <v/>
      </c>
      <c r="G282" s="3" t="str">
        <f>G304&amp;" - Cell Phone Reimbursement"</f>
        <v>6500-200  MAINT. TECHNICIAN - SALARY - Cell Phone Reimbursement</v>
      </c>
      <c r="S282" s="165">
        <f t="array" ref="S282">SUMPRODUCT(($B$14:$B$255=$G$304)*$G$14:$G$255*$I$14:$I$255)*IFERROR(SUMPRODUCT(($B$14:$B$255=$G$304)*S$14:S$255)/SUMPRODUCT(($B$14:$B$255=$G$304)*S$14:S$255),0)</f>
        <v>75</v>
      </c>
      <c r="T282" s="165">
        <f t="array" ref="T282">SUMPRODUCT(($B$14:$B$255=$G$304)*$G$14:$G$255*$I$14:$I$255)*IFERROR(SUMPRODUCT(($B$14:$B$255=$G$304)*T$14:T$255)/SUMPRODUCT(($B$14:$B$255=$G$304)*T$14:T$255),0)</f>
        <v>75</v>
      </c>
      <c r="U282" s="165">
        <f t="array" ref="U282">SUMPRODUCT(($B$14:$B$255=$G$304)*$G$14:$G$255*$I$14:$I$255)*IFERROR(SUMPRODUCT(($B$14:$B$255=$G$304)*U$14:U$255)/SUMPRODUCT(($B$14:$B$255=$G$304)*U$14:U$255),0)</f>
        <v>75</v>
      </c>
      <c r="V282" s="165">
        <f t="array" ref="V282">SUMPRODUCT(($B$14:$B$255=$G$304)*$G$14:$G$255*$I$14:$I$255)*IFERROR(SUMPRODUCT(($B$14:$B$255=$G$304)*V$14:V$255)/SUMPRODUCT(($B$14:$B$255=$G$304)*V$14:V$255),0)</f>
        <v>75</v>
      </c>
      <c r="W282" s="165">
        <f t="array" ref="W282">SUMPRODUCT(($B$14:$B$255=$G$304)*$G$14:$G$255*$I$14:$I$255)*IFERROR(SUMPRODUCT(($B$14:$B$255=$G$304)*W$14:W$255)/SUMPRODUCT(($B$14:$B$255=$G$304)*W$14:W$255),0)</f>
        <v>75</v>
      </c>
      <c r="X282" s="165">
        <f t="array" ref="X282">SUMPRODUCT(($B$14:$B$255=$G$304)*$G$14:$G$255*$I$14:$I$255)*IFERROR(SUMPRODUCT(($B$14:$B$255=$G$304)*X$14:X$255)/SUMPRODUCT(($B$14:$B$255=$G$304)*X$14:X$255),0)</f>
        <v>75</v>
      </c>
      <c r="Y282" s="165">
        <f t="array" ref="Y282">SUMPRODUCT(($B$14:$B$255=$G$304)*$G$14:$G$255*$I$14:$I$255)*IFERROR(SUMPRODUCT(($B$14:$B$255=$G$304)*Y$14:Y$255)/SUMPRODUCT(($B$14:$B$255=$G$304)*Y$14:Y$255),0)</f>
        <v>75</v>
      </c>
      <c r="Z282" s="165">
        <f t="array" ref="Z282">SUMPRODUCT(($B$14:$B$255=$G$304)*$G$14:$G$255*$I$14:$I$255)*IFERROR(SUMPRODUCT(($B$14:$B$255=$G$304)*Z$14:Z$255)/SUMPRODUCT(($B$14:$B$255=$G$304)*Z$14:Z$255),0)</f>
        <v>75</v>
      </c>
      <c r="AA282" s="165">
        <f t="array" ref="AA282">SUMPRODUCT(($B$14:$B$255=$G$304)*$G$14:$G$255*$I$14:$I$255)*IFERROR(SUMPRODUCT(($B$14:$B$255=$G$304)*AA$14:AA$255)/SUMPRODUCT(($B$14:$B$255=$G$304)*AA$14:AA$255),0)</f>
        <v>75</v>
      </c>
      <c r="AB282" s="165">
        <f t="array" ref="AB282">SUMPRODUCT(($B$14:$B$255=$G$304)*$G$14:$G$255*$I$14:$I$255)*IFERROR(SUMPRODUCT(($B$14:$B$255=$G$304)*AB$14:AB$255)/SUMPRODUCT(($B$14:$B$255=$G$304)*AB$14:AB$255),0)</f>
        <v>75</v>
      </c>
      <c r="AC282" s="165">
        <f t="array" ref="AC282">SUMPRODUCT(($B$14:$B$255=$G$304)*$G$14:$G$255*$I$14:$I$255)*IFERROR(SUMPRODUCT(($B$14:$B$255=$G$304)*AC$14:AC$255)/SUMPRODUCT(($B$14:$B$255=$G$304)*AC$14:AC$255),0)</f>
        <v>75</v>
      </c>
      <c r="AD282" s="165">
        <f t="array" ref="AD282">SUMPRODUCT(($B$14:$B$255=$G$304)*$G$14:$G$255*$I$14:$I$255)*IFERROR(SUMPRODUCT(($B$14:$B$255=$G$304)*AD$14:AD$255)/SUMPRODUCT(($B$14:$B$255=$G$304)*AD$14:AD$255),0)</f>
        <v>75</v>
      </c>
      <c r="AE282" s="90">
        <f>SUM(S282:AD282)</f>
        <v>900</v>
      </c>
    </row>
    <row r="283" spans="1:31" hidden="1">
      <c r="A283" s="1" t="str">
        <f>A282</f>
        <v/>
      </c>
      <c r="G283" s="6"/>
      <c r="S283" s="166"/>
      <c r="T283" s="166"/>
      <c r="U283" s="166"/>
      <c r="V283" s="166"/>
      <c r="W283" s="166"/>
      <c r="X283" s="166"/>
      <c r="Y283" s="166"/>
      <c r="Z283" s="166"/>
      <c r="AA283" s="166"/>
      <c r="AB283" s="166"/>
      <c r="AC283" s="166"/>
      <c r="AD283" s="166"/>
      <c r="AE283" s="93"/>
    </row>
    <row r="284" spans="1:31" hidden="1">
      <c r="A284" s="1" t="str">
        <f>IF(AE284=0,"Uncheck to Hide","")</f>
        <v>Uncheck to Hide</v>
      </c>
      <c r="G284" s="3" t="str">
        <f>G305&amp;" - Cell Phone Reimbursement"</f>
        <v>6560-000  INTERIOR PAINTING PAYROLL - Cell Phone Reimbursement</v>
      </c>
      <c r="S284" s="165">
        <f t="array" ref="S284">SUMPRODUCT(($B$14:$B$255=$G$305)*$G$14:$G$255*$I$14:$I$255)*IFERROR(SUMPRODUCT(($B$14:$B$255=$G$305)*S$14:S$255)/SUMPRODUCT(($B$14:$B$255=$G$305)*S$14:S$255),0)</f>
        <v>0</v>
      </c>
      <c r="T284" s="165">
        <f t="array" ref="T284">SUMPRODUCT(($B$14:$B$255=$G$305)*$G$14:$G$255*$I$14:$I$255)*IFERROR(SUMPRODUCT(($B$14:$B$255=$G$305)*T$14:T$255)/SUMPRODUCT(($B$14:$B$255=$G$305)*T$14:T$255),0)</f>
        <v>0</v>
      </c>
      <c r="U284" s="165">
        <f t="array" ref="U284">SUMPRODUCT(($B$14:$B$255=$G$305)*$G$14:$G$255*$I$14:$I$255)*IFERROR(SUMPRODUCT(($B$14:$B$255=$G$305)*U$14:U$255)/SUMPRODUCT(($B$14:$B$255=$G$305)*U$14:U$255),0)</f>
        <v>0</v>
      </c>
      <c r="V284" s="165">
        <f t="array" ref="V284">SUMPRODUCT(($B$14:$B$255=$G$305)*$G$14:$G$255*$I$14:$I$255)*IFERROR(SUMPRODUCT(($B$14:$B$255=$G$305)*V$14:V$255)/SUMPRODUCT(($B$14:$B$255=$G$305)*V$14:V$255),0)</f>
        <v>0</v>
      </c>
      <c r="W284" s="165">
        <f t="array" ref="W284">SUMPRODUCT(($B$14:$B$255=$G$305)*$G$14:$G$255*$I$14:$I$255)*IFERROR(SUMPRODUCT(($B$14:$B$255=$G$305)*W$14:W$255)/SUMPRODUCT(($B$14:$B$255=$G$305)*W$14:W$255),0)</f>
        <v>0</v>
      </c>
      <c r="X284" s="165">
        <f t="array" ref="X284">SUMPRODUCT(($B$14:$B$255=$G$305)*$G$14:$G$255*$I$14:$I$255)*IFERROR(SUMPRODUCT(($B$14:$B$255=$G$305)*X$14:X$255)/SUMPRODUCT(($B$14:$B$255=$G$305)*X$14:X$255),0)</f>
        <v>0</v>
      </c>
      <c r="Y284" s="165">
        <f t="array" ref="Y284">SUMPRODUCT(($B$14:$B$255=$G$305)*$G$14:$G$255*$I$14:$I$255)*IFERROR(SUMPRODUCT(($B$14:$B$255=$G$305)*Y$14:Y$255)/SUMPRODUCT(($B$14:$B$255=$G$305)*Y$14:Y$255),0)</f>
        <v>0</v>
      </c>
      <c r="Z284" s="165">
        <f t="array" ref="Z284">SUMPRODUCT(($B$14:$B$255=$G$305)*$G$14:$G$255*$I$14:$I$255)*IFERROR(SUMPRODUCT(($B$14:$B$255=$G$305)*Z$14:Z$255)/SUMPRODUCT(($B$14:$B$255=$G$305)*Z$14:Z$255),0)</f>
        <v>0</v>
      </c>
      <c r="AA284" s="165">
        <f t="array" ref="AA284">SUMPRODUCT(($B$14:$B$255=$G$305)*$G$14:$G$255*$I$14:$I$255)*IFERROR(SUMPRODUCT(($B$14:$B$255=$G$305)*AA$14:AA$255)/SUMPRODUCT(($B$14:$B$255=$G$305)*AA$14:AA$255),0)</f>
        <v>0</v>
      </c>
      <c r="AB284" s="165">
        <f t="array" ref="AB284">SUMPRODUCT(($B$14:$B$255=$G$305)*$G$14:$G$255*$I$14:$I$255)*IFERROR(SUMPRODUCT(($B$14:$B$255=$G$305)*AB$14:AB$255)/SUMPRODUCT(($B$14:$B$255=$G$305)*AB$14:AB$255),0)</f>
        <v>0</v>
      </c>
      <c r="AC284" s="165">
        <f t="array" ref="AC284">SUMPRODUCT(($B$14:$B$255=$G$305)*$G$14:$G$255*$I$14:$I$255)*IFERROR(SUMPRODUCT(($B$14:$B$255=$G$305)*AC$14:AC$255)/SUMPRODUCT(($B$14:$B$255=$G$305)*AC$14:AC$255),0)</f>
        <v>0</v>
      </c>
      <c r="AD284" s="165">
        <f t="array" ref="AD284">SUMPRODUCT(($B$14:$B$255=$G$305)*$G$14:$G$255*$I$14:$I$255)*IFERROR(SUMPRODUCT(($B$14:$B$255=$G$305)*AD$14:AD$255)/SUMPRODUCT(($B$14:$B$255=$G$305)*AD$14:AD$255),0)</f>
        <v>0</v>
      </c>
      <c r="AE284" s="90">
        <f>SUM(S284:AD284)</f>
        <v>0</v>
      </c>
    </row>
    <row r="285" spans="1:31" hidden="1">
      <c r="A285" s="1" t="str">
        <f>A284</f>
        <v>Uncheck to Hide</v>
      </c>
      <c r="S285" s="166"/>
      <c r="T285" s="166"/>
      <c r="U285" s="166"/>
      <c r="V285" s="166"/>
      <c r="W285" s="166"/>
      <c r="X285" s="166"/>
      <c r="Y285" s="166"/>
      <c r="Z285" s="166"/>
      <c r="AA285" s="166"/>
      <c r="AB285" s="166"/>
      <c r="AC285" s="166"/>
      <c r="AD285" s="166"/>
      <c r="AE285" s="93"/>
    </row>
    <row r="286" spans="1:31" hidden="1">
      <c r="A286" s="1" t="str">
        <f>IF(AE286=0,"Uncheck to Hide","")</f>
        <v>Uncheck to Hide</v>
      </c>
      <c r="G286" s="3" t="str">
        <f>G306&amp;" - Cell Phone Reimbursement"</f>
        <v>6535-000  GROUNDS PAYROLL - Cell Phone Reimbursement</v>
      </c>
      <c r="S286" s="165">
        <f t="array" ref="S286">SUMPRODUCT(($B$14:$B$255=$G$306)*$G$14:$G$255*$I$14:$I$255)*IFERROR(SUMPRODUCT(($B$14:$B$255=$G$306)*S$14:S$255)/SUMPRODUCT(($B$14:$B$255=$G$306)*S$14:S$255),0)</f>
        <v>0</v>
      </c>
      <c r="T286" s="165">
        <f t="array" ref="T286">SUMPRODUCT(($B$14:$B$255=$G$306)*$G$14:$G$255*$I$14:$I$255)*IFERROR(SUMPRODUCT(($B$14:$B$255=$G$306)*T$14:T$255)/SUMPRODUCT(($B$14:$B$255=$G$306)*T$14:T$255),0)</f>
        <v>0</v>
      </c>
      <c r="U286" s="165">
        <f t="array" ref="U286">SUMPRODUCT(($B$14:$B$255=$G$306)*$G$14:$G$255*$I$14:$I$255)*IFERROR(SUMPRODUCT(($B$14:$B$255=$G$306)*U$14:U$255)/SUMPRODUCT(($B$14:$B$255=$G$306)*U$14:U$255),0)</f>
        <v>0</v>
      </c>
      <c r="V286" s="165">
        <f t="array" ref="V286">SUMPRODUCT(($B$14:$B$255=$G$306)*$G$14:$G$255*$I$14:$I$255)*IFERROR(SUMPRODUCT(($B$14:$B$255=$G$306)*V$14:V$255)/SUMPRODUCT(($B$14:$B$255=$G$306)*V$14:V$255),0)</f>
        <v>0</v>
      </c>
      <c r="W286" s="165">
        <f t="array" ref="W286">SUMPRODUCT(($B$14:$B$255=$G$306)*$G$14:$G$255*$I$14:$I$255)*IFERROR(SUMPRODUCT(($B$14:$B$255=$G$306)*W$14:W$255)/SUMPRODUCT(($B$14:$B$255=$G$306)*W$14:W$255),0)</f>
        <v>0</v>
      </c>
      <c r="X286" s="165">
        <f t="array" ref="X286">SUMPRODUCT(($B$14:$B$255=$G$306)*$G$14:$G$255*$I$14:$I$255)*IFERROR(SUMPRODUCT(($B$14:$B$255=$G$306)*X$14:X$255)/SUMPRODUCT(($B$14:$B$255=$G$306)*X$14:X$255),0)</f>
        <v>0</v>
      </c>
      <c r="Y286" s="165">
        <f t="array" ref="Y286">SUMPRODUCT(($B$14:$B$255=$G$306)*$G$14:$G$255*$I$14:$I$255)*IFERROR(SUMPRODUCT(($B$14:$B$255=$G$306)*Y$14:Y$255)/SUMPRODUCT(($B$14:$B$255=$G$306)*Y$14:Y$255),0)</f>
        <v>0</v>
      </c>
      <c r="Z286" s="165">
        <f t="array" ref="Z286">SUMPRODUCT(($B$14:$B$255=$G$306)*$G$14:$G$255*$I$14:$I$255)*IFERROR(SUMPRODUCT(($B$14:$B$255=$G$306)*Z$14:Z$255)/SUMPRODUCT(($B$14:$B$255=$G$306)*Z$14:Z$255),0)</f>
        <v>0</v>
      </c>
      <c r="AA286" s="165">
        <f t="array" ref="AA286">SUMPRODUCT(($B$14:$B$255=$G$306)*$G$14:$G$255*$I$14:$I$255)*IFERROR(SUMPRODUCT(($B$14:$B$255=$G$306)*AA$14:AA$255)/SUMPRODUCT(($B$14:$B$255=$G$306)*AA$14:AA$255),0)</f>
        <v>0</v>
      </c>
      <c r="AB286" s="165">
        <f t="array" ref="AB286">SUMPRODUCT(($B$14:$B$255=$G$306)*$G$14:$G$255*$I$14:$I$255)*IFERROR(SUMPRODUCT(($B$14:$B$255=$G$306)*AB$14:AB$255)/SUMPRODUCT(($B$14:$B$255=$G$306)*AB$14:AB$255),0)</f>
        <v>0</v>
      </c>
      <c r="AC286" s="165">
        <f t="array" ref="AC286">SUMPRODUCT(($B$14:$B$255=$G$306)*$G$14:$G$255*$I$14:$I$255)*IFERROR(SUMPRODUCT(($B$14:$B$255=$G$306)*AC$14:AC$255)/SUMPRODUCT(($B$14:$B$255=$G$306)*AC$14:AC$255),0)</f>
        <v>0</v>
      </c>
      <c r="AD286" s="165">
        <f t="array" ref="AD286">SUMPRODUCT(($B$14:$B$255=$G$306)*$G$14:$G$255*$I$14:$I$255)*IFERROR(SUMPRODUCT(($B$14:$B$255=$G$306)*AD$14:AD$255)/SUMPRODUCT(($B$14:$B$255=$G$306)*AD$14:AD$255),0)</f>
        <v>0</v>
      </c>
      <c r="AE286" s="90">
        <f>SUM(S286:AD286)</f>
        <v>0</v>
      </c>
    </row>
    <row r="287" spans="1:31" hidden="1">
      <c r="A287" s="1" t="str">
        <f>A286</f>
        <v>Uncheck to Hide</v>
      </c>
      <c r="S287" s="166"/>
      <c r="T287" s="166"/>
      <c r="U287" s="166"/>
      <c r="V287" s="166"/>
      <c r="W287" s="166"/>
      <c r="X287" s="166"/>
      <c r="Y287" s="166"/>
      <c r="Z287" s="166"/>
      <c r="AA287" s="166"/>
      <c r="AB287" s="166"/>
      <c r="AC287" s="166"/>
      <c r="AD287" s="166"/>
      <c r="AE287" s="93"/>
    </row>
    <row r="288" spans="1:31" hidden="1">
      <c r="A288" s="1" t="str">
        <f>IF(AE288=0,"Uncheck to Hide","")</f>
        <v>Uncheck to Hide</v>
      </c>
      <c r="G288" s="3" t="str">
        <f>G307&amp;" - Cell Phone Reimbursement"</f>
        <v>6510-000  CLEANING PAYROLL - Cell Phone Reimbursement</v>
      </c>
      <c r="S288" s="165">
        <f t="array" ref="S288">SUMPRODUCT(($B$14:$B$255=$G$307)*$G$14:$G$255*$I$14:$I$255)*IFERROR(SUMPRODUCT(($B$14:$B$255=$G$307)*S$14:S$255)/SUMPRODUCT(($B$14:$B$255=$G$307)*S$14:S$255),0)</f>
        <v>0</v>
      </c>
      <c r="T288" s="165">
        <f t="array" ref="T288">SUMPRODUCT(($B$14:$B$255=$G$307)*$G$14:$G$255*$I$14:$I$255)*IFERROR(SUMPRODUCT(($B$14:$B$255=$G$307)*T$14:T$255)/SUMPRODUCT(($B$14:$B$255=$G$307)*T$14:T$255),0)</f>
        <v>0</v>
      </c>
      <c r="U288" s="165">
        <f t="array" ref="U288">SUMPRODUCT(($B$14:$B$255=$G$307)*$G$14:$G$255*$I$14:$I$255)*IFERROR(SUMPRODUCT(($B$14:$B$255=$G$307)*U$14:U$255)/SUMPRODUCT(($B$14:$B$255=$G$307)*U$14:U$255),0)</f>
        <v>0</v>
      </c>
      <c r="V288" s="165">
        <f t="array" ref="V288">SUMPRODUCT(($B$14:$B$255=$G$307)*$G$14:$G$255*$I$14:$I$255)*IFERROR(SUMPRODUCT(($B$14:$B$255=$G$307)*V$14:V$255)/SUMPRODUCT(($B$14:$B$255=$G$307)*V$14:V$255),0)</f>
        <v>0</v>
      </c>
      <c r="W288" s="165">
        <f t="array" ref="W288">SUMPRODUCT(($B$14:$B$255=$G$307)*$G$14:$G$255*$I$14:$I$255)*IFERROR(SUMPRODUCT(($B$14:$B$255=$G$307)*W$14:W$255)/SUMPRODUCT(($B$14:$B$255=$G$307)*W$14:W$255),0)</f>
        <v>0</v>
      </c>
      <c r="X288" s="165">
        <f t="array" ref="X288">SUMPRODUCT(($B$14:$B$255=$G$307)*$G$14:$G$255*$I$14:$I$255)*IFERROR(SUMPRODUCT(($B$14:$B$255=$G$307)*X$14:X$255)/SUMPRODUCT(($B$14:$B$255=$G$307)*X$14:X$255),0)</f>
        <v>0</v>
      </c>
      <c r="Y288" s="165">
        <f t="array" ref="Y288">SUMPRODUCT(($B$14:$B$255=$G$307)*$G$14:$G$255*$I$14:$I$255)*IFERROR(SUMPRODUCT(($B$14:$B$255=$G$307)*Y$14:Y$255)/SUMPRODUCT(($B$14:$B$255=$G$307)*Y$14:Y$255),0)</f>
        <v>0</v>
      </c>
      <c r="Z288" s="165">
        <f t="array" ref="Z288">SUMPRODUCT(($B$14:$B$255=$G$307)*$G$14:$G$255*$I$14:$I$255)*IFERROR(SUMPRODUCT(($B$14:$B$255=$G$307)*Z$14:Z$255)/SUMPRODUCT(($B$14:$B$255=$G$307)*Z$14:Z$255),0)</f>
        <v>0</v>
      </c>
      <c r="AA288" s="165">
        <f t="array" ref="AA288">SUMPRODUCT(($B$14:$B$255=$G$307)*$G$14:$G$255*$I$14:$I$255)*IFERROR(SUMPRODUCT(($B$14:$B$255=$G$307)*AA$14:AA$255)/SUMPRODUCT(($B$14:$B$255=$G$307)*AA$14:AA$255),0)</f>
        <v>0</v>
      </c>
      <c r="AB288" s="165">
        <f t="array" ref="AB288">SUMPRODUCT(($B$14:$B$255=$G$307)*$G$14:$G$255*$I$14:$I$255)*IFERROR(SUMPRODUCT(($B$14:$B$255=$G$307)*AB$14:AB$255)/SUMPRODUCT(($B$14:$B$255=$G$307)*AB$14:AB$255),0)</f>
        <v>0</v>
      </c>
      <c r="AC288" s="165">
        <f t="array" ref="AC288">SUMPRODUCT(($B$14:$B$255=$G$307)*$G$14:$G$255*$I$14:$I$255)*IFERROR(SUMPRODUCT(($B$14:$B$255=$G$307)*AC$14:AC$255)/SUMPRODUCT(($B$14:$B$255=$G$307)*AC$14:AC$255),0)</f>
        <v>0</v>
      </c>
      <c r="AD288" s="165">
        <f t="array" ref="AD288">SUMPRODUCT(($B$14:$B$255=$G$307)*$G$14:$G$255*$I$14:$I$255)*IFERROR(SUMPRODUCT(($B$14:$B$255=$G$307)*AD$14:AD$255)/SUMPRODUCT(($B$14:$B$255=$G$307)*AD$14:AD$255),0)</f>
        <v>0</v>
      </c>
      <c r="AE288" s="90">
        <f>SUM(S288:AD288)</f>
        <v>0</v>
      </c>
    </row>
    <row r="289" spans="1:32" hidden="1">
      <c r="A289" s="1" t="str">
        <f>A288</f>
        <v>Uncheck to Hide</v>
      </c>
      <c r="G289" s="6"/>
      <c r="S289" s="166"/>
      <c r="T289" s="166"/>
      <c r="U289" s="166"/>
      <c r="V289" s="166"/>
      <c r="W289" s="166"/>
      <c r="X289" s="166"/>
      <c r="Y289" s="166"/>
      <c r="Z289" s="166"/>
      <c r="AA289" s="166"/>
      <c r="AB289" s="166"/>
      <c r="AC289" s="166"/>
      <c r="AD289" s="166"/>
      <c r="AE289" s="93"/>
    </row>
    <row r="290" spans="1:32" hidden="1">
      <c r="A290" s="1" t="str">
        <f>IF(AE290=0,"Uncheck to Hide","")</f>
        <v>Uncheck to Hide</v>
      </c>
      <c r="G290" s="3" t="str">
        <f>G308&amp;" - Cell Phone Reimbursement"</f>
        <v>6390-050  AREA SUPERVISOR - Cell Phone Reimbursement</v>
      </c>
      <c r="S290" s="165">
        <f t="array" ref="S290">SUMPRODUCT(($B$14:$B$255=$G$308)*$G$14:$G$255*$I$14:$I$255)*IFERROR(SUMPRODUCT(($B$14:$B$255=$G$308)*S$14:S$255)/SUMPRODUCT(($B$14:$B$255=$G$308)*S$14:S$255),0)</f>
        <v>0</v>
      </c>
      <c r="T290" s="165">
        <f t="array" ref="T290">SUMPRODUCT(($B$14:$B$255=$G$308)*$G$14:$G$255*$I$14:$I$255)*IFERROR(SUMPRODUCT(($B$14:$B$255=$G$308)*T$14:T$255)/SUMPRODUCT(($B$14:$B$255=$G$308)*T$14:T$255),0)</f>
        <v>0</v>
      </c>
      <c r="U290" s="165">
        <f t="array" ref="U290">SUMPRODUCT(($B$14:$B$255=$G$308)*$G$14:$G$255*$I$14:$I$255)*IFERROR(SUMPRODUCT(($B$14:$B$255=$G$308)*U$14:U$255)/SUMPRODUCT(($B$14:$B$255=$G$308)*U$14:U$255),0)</f>
        <v>0</v>
      </c>
      <c r="V290" s="165">
        <f t="array" ref="V290">SUMPRODUCT(($B$14:$B$255=$G$308)*$G$14:$G$255*$I$14:$I$255)*IFERROR(SUMPRODUCT(($B$14:$B$255=$G$308)*V$14:V$255)/SUMPRODUCT(($B$14:$B$255=$G$308)*V$14:V$255),0)</f>
        <v>0</v>
      </c>
      <c r="W290" s="165">
        <f t="array" ref="W290">SUMPRODUCT(($B$14:$B$255=$G$308)*$G$14:$G$255*$I$14:$I$255)*IFERROR(SUMPRODUCT(($B$14:$B$255=$G$308)*W$14:W$255)/SUMPRODUCT(($B$14:$B$255=$G$308)*W$14:W$255),0)</f>
        <v>0</v>
      </c>
      <c r="X290" s="165">
        <f t="array" ref="X290">SUMPRODUCT(($B$14:$B$255=$G$308)*$G$14:$G$255*$I$14:$I$255)*IFERROR(SUMPRODUCT(($B$14:$B$255=$G$308)*X$14:X$255)/SUMPRODUCT(($B$14:$B$255=$G$308)*X$14:X$255),0)</f>
        <v>0</v>
      </c>
      <c r="Y290" s="165">
        <f t="array" ref="Y290">SUMPRODUCT(($B$14:$B$255=$G$308)*$G$14:$G$255*$I$14:$I$255)*IFERROR(SUMPRODUCT(($B$14:$B$255=$G$308)*Y$14:Y$255)/SUMPRODUCT(($B$14:$B$255=$G$308)*Y$14:Y$255),0)</f>
        <v>0</v>
      </c>
      <c r="Z290" s="165">
        <f t="array" ref="Z290">SUMPRODUCT(($B$14:$B$255=$G$308)*$G$14:$G$255*$I$14:$I$255)*IFERROR(SUMPRODUCT(($B$14:$B$255=$G$308)*Z$14:Z$255)/SUMPRODUCT(($B$14:$B$255=$G$308)*Z$14:Z$255),0)</f>
        <v>0</v>
      </c>
      <c r="AA290" s="165">
        <f t="array" ref="AA290">SUMPRODUCT(($B$14:$B$255=$G$308)*$G$14:$G$255*$I$14:$I$255)*IFERROR(SUMPRODUCT(($B$14:$B$255=$G$308)*AA$14:AA$255)/SUMPRODUCT(($B$14:$B$255=$G$308)*AA$14:AA$255),0)</f>
        <v>0</v>
      </c>
      <c r="AB290" s="165">
        <f t="array" ref="AB290">SUMPRODUCT(($B$14:$B$255=$G$308)*$G$14:$G$255*$I$14:$I$255)*IFERROR(SUMPRODUCT(($B$14:$B$255=$G$308)*AB$14:AB$255)/SUMPRODUCT(($B$14:$B$255=$G$308)*AB$14:AB$255),0)</f>
        <v>0</v>
      </c>
      <c r="AC290" s="165">
        <f t="array" ref="AC290">SUMPRODUCT(($B$14:$B$255=$G$308)*$G$14:$G$255*$I$14:$I$255)*IFERROR(SUMPRODUCT(($B$14:$B$255=$G$308)*AC$14:AC$255)/SUMPRODUCT(($B$14:$B$255=$G$308)*AC$14:AC$255),0)</f>
        <v>0</v>
      </c>
      <c r="AD290" s="165">
        <f t="array" ref="AD290">SUMPRODUCT(($B$14:$B$255=$G$308)*$G$14:$G$255*$I$14:$I$255)*IFERROR(SUMPRODUCT(($B$14:$B$255=$G$308)*AD$14:AD$255)/SUMPRODUCT(($B$14:$B$255=$G$308)*AD$14:AD$255),0)</f>
        <v>0</v>
      </c>
      <c r="AE290" s="90">
        <f>SUM(S290:AD290)</f>
        <v>0</v>
      </c>
    </row>
    <row r="291" spans="1:32" hidden="1">
      <c r="A291" s="1" t="str">
        <f>A290</f>
        <v>Uncheck to Hide</v>
      </c>
      <c r="S291" s="166"/>
      <c r="T291" s="166"/>
      <c r="U291" s="166"/>
      <c r="V291" s="166"/>
      <c r="W291" s="166"/>
      <c r="X291" s="166"/>
      <c r="Y291" s="166"/>
      <c r="Z291" s="166"/>
      <c r="AA291" s="166"/>
      <c r="AB291" s="166"/>
      <c r="AC291" s="166"/>
      <c r="AD291" s="166"/>
      <c r="AE291" s="93"/>
    </row>
    <row r="292" spans="1:32" hidden="1">
      <c r="A292" s="1" t="str">
        <f>IF(AE292=0,"Uncheck to Hide","")</f>
        <v>Uncheck to Hide</v>
      </c>
      <c r="G292" s="3" t="str">
        <f>G309&amp;" - Cell Phone Reimbursement"</f>
        <v>6500-210  OTHER MAINTENANCE PAYROLL - Cell Phone Reimbursement</v>
      </c>
      <c r="S292" s="165">
        <f t="array" ref="S292">SUMPRODUCT(($B$14:$B$255=$G$309)*$G$14:$G$255*$I$14:$I$255)*IFERROR(SUMPRODUCT(($B$14:$B$255=$G$309)*S$14:S$255)/SUMPRODUCT(($B$14:$B$255=$G$309)*S$14:S$255),0)</f>
        <v>0</v>
      </c>
      <c r="T292" s="165">
        <f t="array" ref="T292">SUMPRODUCT(($B$14:$B$255=$G$309)*$G$14:$G$255*$I$14:$I$255)*IFERROR(SUMPRODUCT(($B$14:$B$255=$G$309)*T$14:T$255)/SUMPRODUCT(($B$14:$B$255=$G$309)*T$14:T$255),0)</f>
        <v>0</v>
      </c>
      <c r="U292" s="165">
        <f t="array" ref="U292">SUMPRODUCT(($B$14:$B$255=$G$309)*$G$14:$G$255*$I$14:$I$255)*IFERROR(SUMPRODUCT(($B$14:$B$255=$G$309)*U$14:U$255)/SUMPRODUCT(($B$14:$B$255=$G$309)*U$14:U$255),0)</f>
        <v>0</v>
      </c>
      <c r="V292" s="165">
        <f t="array" ref="V292">SUMPRODUCT(($B$14:$B$255=$G$309)*$G$14:$G$255*$I$14:$I$255)*IFERROR(SUMPRODUCT(($B$14:$B$255=$G$309)*V$14:V$255)/SUMPRODUCT(($B$14:$B$255=$G$309)*V$14:V$255),0)</f>
        <v>0</v>
      </c>
      <c r="W292" s="165">
        <f t="array" ref="W292">SUMPRODUCT(($B$14:$B$255=$G$309)*$G$14:$G$255*$I$14:$I$255)*IFERROR(SUMPRODUCT(($B$14:$B$255=$G$309)*W$14:W$255)/SUMPRODUCT(($B$14:$B$255=$G$309)*W$14:W$255),0)</f>
        <v>0</v>
      </c>
      <c r="X292" s="165">
        <f t="array" ref="X292">SUMPRODUCT(($B$14:$B$255=$G$309)*$G$14:$G$255*$I$14:$I$255)*IFERROR(SUMPRODUCT(($B$14:$B$255=$G$309)*X$14:X$255)/SUMPRODUCT(($B$14:$B$255=$G$309)*X$14:X$255),0)</f>
        <v>0</v>
      </c>
      <c r="Y292" s="165">
        <f t="array" ref="Y292">SUMPRODUCT(($B$14:$B$255=$G$309)*$G$14:$G$255*$I$14:$I$255)*IFERROR(SUMPRODUCT(($B$14:$B$255=$G$309)*Y$14:Y$255)/SUMPRODUCT(($B$14:$B$255=$G$309)*Y$14:Y$255),0)</f>
        <v>0</v>
      </c>
      <c r="Z292" s="165">
        <f t="array" ref="Z292">SUMPRODUCT(($B$14:$B$255=$G$309)*$G$14:$G$255*$I$14:$I$255)*IFERROR(SUMPRODUCT(($B$14:$B$255=$G$309)*Z$14:Z$255)/SUMPRODUCT(($B$14:$B$255=$G$309)*Z$14:Z$255),0)</f>
        <v>0</v>
      </c>
      <c r="AA292" s="165">
        <f t="array" ref="AA292">SUMPRODUCT(($B$14:$B$255=$G$309)*$G$14:$G$255*$I$14:$I$255)*IFERROR(SUMPRODUCT(($B$14:$B$255=$G$309)*AA$14:AA$255)/SUMPRODUCT(($B$14:$B$255=$G$309)*AA$14:AA$255),0)</f>
        <v>0</v>
      </c>
      <c r="AB292" s="165">
        <f t="array" ref="AB292">SUMPRODUCT(($B$14:$B$255=$G$309)*$G$14:$G$255*$I$14:$I$255)*IFERROR(SUMPRODUCT(($B$14:$B$255=$G$309)*AB$14:AB$255)/SUMPRODUCT(($B$14:$B$255=$G$309)*AB$14:AB$255),0)</f>
        <v>0</v>
      </c>
      <c r="AC292" s="165">
        <f t="array" ref="AC292">SUMPRODUCT(($B$14:$B$255=$G$309)*$G$14:$G$255*$I$14:$I$255)*IFERROR(SUMPRODUCT(($B$14:$B$255=$G$309)*AC$14:AC$255)/SUMPRODUCT(($B$14:$B$255=$G$309)*AC$14:AC$255),0)</f>
        <v>0</v>
      </c>
      <c r="AD292" s="165">
        <f t="array" ref="AD292">SUMPRODUCT(($B$14:$B$255=$G$309)*$G$14:$G$255*$I$14:$I$255)*IFERROR(SUMPRODUCT(($B$14:$B$255=$G$309)*AD$14:AD$255)/SUMPRODUCT(($B$14:$B$255=$G$309)*AD$14:AD$255),0)</f>
        <v>0</v>
      </c>
      <c r="AE292" s="90">
        <f>SUM(S292:AD292)</f>
        <v>0</v>
      </c>
    </row>
    <row r="293" spans="1:32" hidden="1">
      <c r="A293" s="1" t="str">
        <f>A292</f>
        <v>Uncheck to Hide</v>
      </c>
      <c r="G293" s="6"/>
      <c r="S293" s="166"/>
      <c r="T293" s="166"/>
      <c r="U293" s="166"/>
      <c r="V293" s="166"/>
      <c r="W293" s="166"/>
      <c r="X293" s="166"/>
      <c r="Y293" s="166"/>
      <c r="Z293" s="166"/>
      <c r="AA293" s="166"/>
      <c r="AB293" s="166"/>
      <c r="AC293" s="166"/>
      <c r="AD293" s="166"/>
      <c r="AE293" s="93"/>
    </row>
    <row r="294" spans="1:32" hidden="1">
      <c r="A294" s="1" t="str">
        <f>IF(AE294=0,"Uncheck to Hide","")</f>
        <v>Uncheck to Hide</v>
      </c>
      <c r="G294" s="3" t="str">
        <f>G310&amp;" - Cell Phone Reimbursement"</f>
        <v>6980-010  ACTIVITY DIRECTOR PAYROLL - Cell Phone Reimbursement</v>
      </c>
      <c r="S294" s="165">
        <f t="array" ref="S294">SUMPRODUCT(($B$14:$B$255=$G$310)*$G$14:$G$255*$I$14:$I$255)*IFERROR(SUMPRODUCT(($B$14:$B$255=$G$310)*S$14:S$255)/SUMPRODUCT(($B$14:$B$255=$G$310)*S$14:S$255),0)</f>
        <v>0</v>
      </c>
      <c r="T294" s="165">
        <f t="array" ref="T294">SUMPRODUCT(($B$14:$B$255=$G$310)*$G$14:$G$255*$I$14:$I$255)*IFERROR(SUMPRODUCT(($B$14:$B$255=$G$310)*T$14:T$255)/SUMPRODUCT(($B$14:$B$255=$G$310)*T$14:T$255),0)</f>
        <v>0</v>
      </c>
      <c r="U294" s="165">
        <f t="array" ref="U294">SUMPRODUCT(($B$14:$B$255=$G$310)*$G$14:$G$255*$I$14:$I$255)*IFERROR(SUMPRODUCT(($B$14:$B$255=$G$310)*U$14:U$255)/SUMPRODUCT(($B$14:$B$255=$G$310)*U$14:U$255),0)</f>
        <v>0</v>
      </c>
      <c r="V294" s="165">
        <f t="array" ref="V294">SUMPRODUCT(($B$14:$B$255=$G$310)*$G$14:$G$255*$I$14:$I$255)*IFERROR(SUMPRODUCT(($B$14:$B$255=$G$310)*V$14:V$255)/SUMPRODUCT(($B$14:$B$255=$G$310)*V$14:V$255),0)</f>
        <v>0</v>
      </c>
      <c r="W294" s="165">
        <f t="array" ref="W294">SUMPRODUCT(($B$14:$B$255=$G$310)*$G$14:$G$255*$I$14:$I$255)*IFERROR(SUMPRODUCT(($B$14:$B$255=$G$310)*W$14:W$255)/SUMPRODUCT(($B$14:$B$255=$G$310)*W$14:W$255),0)</f>
        <v>0</v>
      </c>
      <c r="X294" s="165">
        <f t="array" ref="X294">SUMPRODUCT(($B$14:$B$255=$G$310)*$G$14:$G$255*$I$14:$I$255)*IFERROR(SUMPRODUCT(($B$14:$B$255=$G$310)*X$14:X$255)/SUMPRODUCT(($B$14:$B$255=$G$310)*X$14:X$255),0)</f>
        <v>0</v>
      </c>
      <c r="Y294" s="165">
        <f t="array" ref="Y294">SUMPRODUCT(($B$14:$B$255=$G$310)*$G$14:$G$255*$I$14:$I$255)*IFERROR(SUMPRODUCT(($B$14:$B$255=$G$310)*Y$14:Y$255)/SUMPRODUCT(($B$14:$B$255=$G$310)*Y$14:Y$255),0)</f>
        <v>0</v>
      </c>
      <c r="Z294" s="165">
        <f t="array" ref="Z294">SUMPRODUCT(($B$14:$B$255=$G$310)*$G$14:$G$255*$I$14:$I$255)*IFERROR(SUMPRODUCT(($B$14:$B$255=$G$310)*Z$14:Z$255)/SUMPRODUCT(($B$14:$B$255=$G$310)*Z$14:Z$255),0)</f>
        <v>0</v>
      </c>
      <c r="AA294" s="165">
        <f t="array" ref="AA294">SUMPRODUCT(($B$14:$B$255=$G$310)*$G$14:$G$255*$I$14:$I$255)*IFERROR(SUMPRODUCT(($B$14:$B$255=$G$310)*AA$14:AA$255)/SUMPRODUCT(($B$14:$B$255=$G$310)*AA$14:AA$255),0)</f>
        <v>0</v>
      </c>
      <c r="AB294" s="165">
        <f t="array" ref="AB294">SUMPRODUCT(($B$14:$B$255=$G$310)*$G$14:$G$255*$I$14:$I$255)*IFERROR(SUMPRODUCT(($B$14:$B$255=$G$310)*AB$14:AB$255)/SUMPRODUCT(($B$14:$B$255=$G$310)*AB$14:AB$255),0)</f>
        <v>0</v>
      </c>
      <c r="AC294" s="165">
        <f t="array" ref="AC294">SUMPRODUCT(($B$14:$B$255=$G$310)*$G$14:$G$255*$I$14:$I$255)*IFERROR(SUMPRODUCT(($B$14:$B$255=$G$310)*AC$14:AC$255)/SUMPRODUCT(($B$14:$B$255=$G$310)*AC$14:AC$255),0)</f>
        <v>0</v>
      </c>
      <c r="AD294" s="165">
        <f t="array" ref="AD294">SUMPRODUCT(($B$14:$B$255=$G$310)*$G$14:$G$255*$I$14:$I$255)*IFERROR(SUMPRODUCT(($B$14:$B$255=$G$310)*AD$14:AD$255)/SUMPRODUCT(($B$14:$B$255=$G$310)*AD$14:AD$255),0)</f>
        <v>0</v>
      </c>
      <c r="AE294" s="90">
        <f>SUM(S294:AD294)</f>
        <v>0</v>
      </c>
    </row>
    <row r="295" spans="1:32" hidden="1">
      <c r="A295" s="1" t="str">
        <f>A294</f>
        <v>Uncheck to Hide</v>
      </c>
      <c r="S295" s="166"/>
      <c r="T295" s="166"/>
      <c r="U295" s="166"/>
      <c r="V295" s="166"/>
      <c r="W295" s="166"/>
      <c r="X295" s="166"/>
      <c r="Y295" s="166"/>
      <c r="Z295" s="166"/>
      <c r="AA295" s="166"/>
      <c r="AB295" s="166"/>
      <c r="AC295" s="166"/>
      <c r="AD295" s="166"/>
      <c r="AE295" s="93"/>
    </row>
    <row r="296" spans="1:32">
      <c r="S296" s="167"/>
    </row>
    <row r="297" spans="1:32" ht="13.9" customHeight="1" thickBot="1">
      <c r="S297" s="3"/>
    </row>
    <row r="298" spans="1:32" ht="13.9" customHeight="1" thickTop="1">
      <c r="C298" s="168"/>
      <c r="S298" s="54" t="str">
        <f t="shared" ref="S298:AE298" si="228">S6</f>
        <v>Jan</v>
      </c>
      <c r="T298" s="54" t="str">
        <f t="shared" si="228"/>
        <v>Feb</v>
      </c>
      <c r="U298" s="54" t="str">
        <f t="shared" si="228"/>
        <v>Mar</v>
      </c>
      <c r="V298" s="54" t="str">
        <f t="shared" si="228"/>
        <v>Apr</v>
      </c>
      <c r="W298" s="54" t="str">
        <f t="shared" si="228"/>
        <v>May</v>
      </c>
      <c r="X298" s="54" t="str">
        <f t="shared" si="228"/>
        <v>Jun</v>
      </c>
      <c r="Y298" s="54" t="str">
        <f t="shared" si="228"/>
        <v>Jul</v>
      </c>
      <c r="Z298" s="54" t="str">
        <f t="shared" si="228"/>
        <v>Aug</v>
      </c>
      <c r="AA298" s="54" t="str">
        <f t="shared" si="228"/>
        <v>Sep</v>
      </c>
      <c r="AB298" s="54" t="str">
        <f t="shared" si="228"/>
        <v>Oct</v>
      </c>
      <c r="AC298" s="54" t="str">
        <f t="shared" si="228"/>
        <v>Nov</v>
      </c>
      <c r="AD298" s="54" t="str">
        <f t="shared" si="228"/>
        <v>Dec</v>
      </c>
      <c r="AE298" s="54" t="str">
        <f t="shared" si="228"/>
        <v>Total</v>
      </c>
      <c r="AF298" s="54" t="s">
        <v>161</v>
      </c>
    </row>
    <row r="299" spans="1:32">
      <c r="G299" s="169" t="s">
        <v>110</v>
      </c>
      <c r="H299" s="170"/>
      <c r="I299" s="170"/>
      <c r="J299" s="170"/>
      <c r="K299" s="170"/>
      <c r="L299" s="170"/>
      <c r="M299" s="170"/>
      <c r="N299" s="170"/>
      <c r="O299" s="170"/>
      <c r="P299" s="171"/>
      <c r="Q299" s="172"/>
      <c r="R299" s="172"/>
      <c r="S299" s="161">
        <f t="shared" ref="S299:AD299" si="229">SUMIF($B$14:$B$255,$G299,S$14:S$255)+S274</f>
        <v>7726.2</v>
      </c>
      <c r="T299" s="161">
        <f t="shared" si="229"/>
        <v>7726.2</v>
      </c>
      <c r="U299" s="161">
        <f t="shared" si="229"/>
        <v>7726.2</v>
      </c>
      <c r="V299" s="161">
        <f t="shared" si="229"/>
        <v>7726.2</v>
      </c>
      <c r="W299" s="161">
        <f t="shared" si="229"/>
        <v>7726.2</v>
      </c>
      <c r="X299" s="161">
        <f t="shared" si="229"/>
        <v>7726.2</v>
      </c>
      <c r="Y299" s="161">
        <f t="shared" si="229"/>
        <v>11571.8</v>
      </c>
      <c r="Z299" s="161">
        <f t="shared" si="229"/>
        <v>7726.2</v>
      </c>
      <c r="AA299" s="161">
        <f t="shared" si="229"/>
        <v>7726.2</v>
      </c>
      <c r="AB299" s="161">
        <f t="shared" si="229"/>
        <v>7726.2</v>
      </c>
      <c r="AC299" s="161">
        <f t="shared" si="229"/>
        <v>7726.2</v>
      </c>
      <c r="AD299" s="161">
        <f t="shared" si="229"/>
        <v>11571.8</v>
      </c>
      <c r="AE299" s="155">
        <f t="shared" ref="AE299:AE307" si="230">SUM(S299:AD299)</f>
        <v>100405.59999999999</v>
      </c>
      <c r="AF299" s="155">
        <f>AE299/'[1]Rental Revenue'!C$68</f>
        <v>462.69861751152069</v>
      </c>
    </row>
    <row r="300" spans="1:32">
      <c r="G300" s="169" t="s">
        <v>116</v>
      </c>
      <c r="H300" s="170"/>
      <c r="I300" s="170"/>
      <c r="J300" s="170"/>
      <c r="K300" s="170"/>
      <c r="L300" s="170"/>
      <c r="M300" s="170"/>
      <c r="N300" s="170"/>
      <c r="O300" s="170"/>
      <c r="P300" s="171"/>
      <c r="Q300" s="172"/>
      <c r="R300" s="172"/>
      <c r="S300" s="161">
        <f t="shared" ref="S300:AD300" si="231">SUMIF($B$14:$B$255,$G300,S$14:S$255)+S276</f>
        <v>5175.3999999999996</v>
      </c>
      <c r="T300" s="161">
        <f t="shared" si="231"/>
        <v>5175.3999999999996</v>
      </c>
      <c r="U300" s="161">
        <f t="shared" si="231"/>
        <v>5175.3999999999996</v>
      </c>
      <c r="V300" s="161">
        <f t="shared" si="231"/>
        <v>5175.3999999999996</v>
      </c>
      <c r="W300" s="161">
        <f t="shared" si="231"/>
        <v>5175.3999999999996</v>
      </c>
      <c r="X300" s="161">
        <f t="shared" si="231"/>
        <v>5175.3999999999996</v>
      </c>
      <c r="Y300" s="161">
        <f t="shared" si="231"/>
        <v>7750.5999999999995</v>
      </c>
      <c r="Z300" s="161">
        <f t="shared" si="231"/>
        <v>5175.3999999999996</v>
      </c>
      <c r="AA300" s="161">
        <f t="shared" si="231"/>
        <v>5175.3999999999996</v>
      </c>
      <c r="AB300" s="161">
        <f t="shared" si="231"/>
        <v>5175.3999999999996</v>
      </c>
      <c r="AC300" s="161">
        <f t="shared" si="231"/>
        <v>5175.3999999999996</v>
      </c>
      <c r="AD300" s="161">
        <f t="shared" si="231"/>
        <v>7750.5999999999995</v>
      </c>
      <c r="AE300" s="155">
        <f t="shared" si="230"/>
        <v>67255.200000000012</v>
      </c>
      <c r="AF300" s="155">
        <f>AE300/'[1]Rental Revenue'!C$68</f>
        <v>309.93179723502311</v>
      </c>
    </row>
    <row r="301" spans="1:32">
      <c r="G301" s="169" t="s">
        <v>120</v>
      </c>
      <c r="H301" s="170"/>
      <c r="I301" s="170"/>
      <c r="J301" s="170"/>
      <c r="K301" s="170"/>
      <c r="L301" s="170"/>
      <c r="M301" s="170"/>
      <c r="N301" s="170"/>
      <c r="O301" s="170"/>
      <c r="P301" s="171"/>
      <c r="Q301" s="172"/>
      <c r="R301" s="172"/>
      <c r="S301" s="161">
        <f t="shared" ref="S301:AD301" si="232">SUMIF($B$14:$B$255,$G301,S$14:S$255)+S278</f>
        <v>3855</v>
      </c>
      <c r="T301" s="161">
        <f t="shared" si="232"/>
        <v>3855</v>
      </c>
      <c r="U301" s="161">
        <f t="shared" si="232"/>
        <v>3855</v>
      </c>
      <c r="V301" s="161">
        <f t="shared" si="232"/>
        <v>3855</v>
      </c>
      <c r="W301" s="161">
        <f t="shared" si="232"/>
        <v>3855</v>
      </c>
      <c r="X301" s="161">
        <f t="shared" si="232"/>
        <v>3855</v>
      </c>
      <c r="Y301" s="161">
        <f t="shared" si="232"/>
        <v>5775</v>
      </c>
      <c r="Z301" s="161">
        <f t="shared" si="232"/>
        <v>3855</v>
      </c>
      <c r="AA301" s="161">
        <f t="shared" si="232"/>
        <v>3855</v>
      </c>
      <c r="AB301" s="161">
        <f t="shared" si="232"/>
        <v>3855</v>
      </c>
      <c r="AC301" s="161">
        <f t="shared" si="232"/>
        <v>3855</v>
      </c>
      <c r="AD301" s="161">
        <f t="shared" si="232"/>
        <v>5775</v>
      </c>
      <c r="AE301" s="155">
        <f t="shared" si="230"/>
        <v>50100</v>
      </c>
      <c r="AF301" s="155">
        <f>AE301/'[1]Rental Revenue'!C$68</f>
        <v>230.87557603686636</v>
      </c>
    </row>
    <row r="302" spans="1:32">
      <c r="G302" s="169" t="str">
        <f>B264</f>
        <v>6335-000  BONUS SALARIES</v>
      </c>
      <c r="H302" s="170"/>
      <c r="I302" s="170"/>
      <c r="J302" s="170"/>
      <c r="K302" s="170"/>
      <c r="L302" s="170"/>
      <c r="M302" s="170"/>
      <c r="N302" s="170"/>
      <c r="O302" s="170"/>
      <c r="P302" s="171"/>
      <c r="Q302" s="172"/>
      <c r="R302" s="172"/>
      <c r="S302" s="155">
        <f t="shared" ref="S302:AD302" si="233">S264</f>
        <v>450</v>
      </c>
      <c r="T302" s="155">
        <f t="shared" si="233"/>
        <v>450</v>
      </c>
      <c r="U302" s="155">
        <f t="shared" si="233"/>
        <v>950</v>
      </c>
      <c r="V302" s="155">
        <f t="shared" si="233"/>
        <v>1225</v>
      </c>
      <c r="W302" s="155">
        <f t="shared" si="233"/>
        <v>1125</v>
      </c>
      <c r="X302" s="155">
        <f t="shared" si="233"/>
        <v>1125</v>
      </c>
      <c r="Y302" s="155">
        <f t="shared" si="233"/>
        <v>1125</v>
      </c>
      <c r="Z302" s="155">
        <f t="shared" si="233"/>
        <v>1400</v>
      </c>
      <c r="AA302" s="155">
        <f t="shared" si="233"/>
        <v>1125</v>
      </c>
      <c r="AB302" s="155">
        <f t="shared" si="233"/>
        <v>1125</v>
      </c>
      <c r="AC302" s="155">
        <f t="shared" si="233"/>
        <v>1125</v>
      </c>
      <c r="AD302" s="155">
        <f t="shared" si="233"/>
        <v>6850</v>
      </c>
      <c r="AE302" s="155">
        <f t="shared" si="230"/>
        <v>18075</v>
      </c>
      <c r="AF302" s="155">
        <f>AE302/'[1]Rental Revenue'!C$68</f>
        <v>83.294930875576043</v>
      </c>
    </row>
    <row r="303" spans="1:32">
      <c r="G303" s="169" t="s">
        <v>129</v>
      </c>
      <c r="H303" s="170"/>
      <c r="I303" s="170"/>
      <c r="J303" s="170"/>
      <c r="K303" s="170"/>
      <c r="L303" s="170"/>
      <c r="M303" s="170"/>
      <c r="N303" s="170"/>
      <c r="O303" s="170"/>
      <c r="P303" s="171"/>
      <c r="Q303" s="172"/>
      <c r="R303" s="172"/>
      <c r="S303" s="161">
        <f t="shared" ref="S303:AD303" si="234">SUMIF($B$14:$B$255,$G303,S$14:S$255)+S280</f>
        <v>2595</v>
      </c>
      <c r="T303" s="161">
        <f t="shared" si="234"/>
        <v>2595</v>
      </c>
      <c r="U303" s="161">
        <f t="shared" si="234"/>
        <v>2595</v>
      </c>
      <c r="V303" s="161">
        <f t="shared" si="234"/>
        <v>2595</v>
      </c>
      <c r="W303" s="161">
        <f t="shared" si="234"/>
        <v>2595</v>
      </c>
      <c r="X303" s="161">
        <f t="shared" si="234"/>
        <v>2595</v>
      </c>
      <c r="Y303" s="161">
        <f t="shared" si="234"/>
        <v>3875</v>
      </c>
      <c r="Z303" s="161">
        <f t="shared" si="234"/>
        <v>2595</v>
      </c>
      <c r="AA303" s="161">
        <f t="shared" si="234"/>
        <v>2595</v>
      </c>
      <c r="AB303" s="161">
        <f t="shared" si="234"/>
        <v>2595</v>
      </c>
      <c r="AC303" s="161">
        <f t="shared" si="234"/>
        <v>2595</v>
      </c>
      <c r="AD303" s="161">
        <f t="shared" si="234"/>
        <v>3875</v>
      </c>
      <c r="AE303" s="155">
        <f t="shared" si="230"/>
        <v>33700</v>
      </c>
      <c r="AF303" s="155">
        <f>AE303/'[1]Rental Revenue'!C$68</f>
        <v>155.2995391705069</v>
      </c>
    </row>
    <row r="304" spans="1:32">
      <c r="G304" s="169" t="s">
        <v>132</v>
      </c>
      <c r="H304" s="170"/>
      <c r="I304" s="170"/>
      <c r="J304" s="170"/>
      <c r="K304" s="170"/>
      <c r="L304" s="170"/>
      <c r="M304" s="170"/>
      <c r="N304" s="170"/>
      <c r="O304" s="170"/>
      <c r="P304" s="171"/>
      <c r="Q304" s="172"/>
      <c r="R304" s="172"/>
      <c r="S304" s="161">
        <f t="shared" ref="S304:AD304" si="235">SUMIF($B$14:$B$255,$G304,S$14:S$255)+S282</f>
        <v>15915</v>
      </c>
      <c r="T304" s="161">
        <f t="shared" si="235"/>
        <v>15915</v>
      </c>
      <c r="U304" s="161">
        <f t="shared" si="235"/>
        <v>15915</v>
      </c>
      <c r="V304" s="161">
        <f t="shared" si="235"/>
        <v>15915</v>
      </c>
      <c r="W304" s="161">
        <f t="shared" si="235"/>
        <v>15915</v>
      </c>
      <c r="X304" s="161">
        <f t="shared" si="235"/>
        <v>15915</v>
      </c>
      <c r="Y304" s="161">
        <f t="shared" si="235"/>
        <v>23835</v>
      </c>
      <c r="Z304" s="161">
        <f t="shared" si="235"/>
        <v>15915</v>
      </c>
      <c r="AA304" s="161">
        <f t="shared" si="235"/>
        <v>15915</v>
      </c>
      <c r="AB304" s="161">
        <f t="shared" si="235"/>
        <v>15915</v>
      </c>
      <c r="AC304" s="161">
        <f t="shared" si="235"/>
        <v>15915</v>
      </c>
      <c r="AD304" s="161">
        <f t="shared" si="235"/>
        <v>23835</v>
      </c>
      <c r="AE304" s="155">
        <f t="shared" si="230"/>
        <v>206820</v>
      </c>
      <c r="AF304" s="155">
        <f>AE304/'[1]Rental Revenue'!C$68</f>
        <v>953.08755760368661</v>
      </c>
    </row>
    <row r="305" spans="1:32">
      <c r="G305" s="169" t="s">
        <v>141</v>
      </c>
      <c r="H305" s="170"/>
      <c r="I305" s="170"/>
      <c r="J305" s="170"/>
      <c r="K305" s="170"/>
      <c r="L305" s="170"/>
      <c r="M305" s="170"/>
      <c r="N305" s="170"/>
      <c r="O305" s="170"/>
      <c r="P305" s="171"/>
      <c r="Q305" s="172"/>
      <c r="R305" s="172"/>
      <c r="S305" s="161">
        <f t="shared" ref="S305:AD305" si="236">SUMIF($B$14:$B$255,$G305,S$14:S$255)+S284</f>
        <v>0</v>
      </c>
      <c r="T305" s="161">
        <f t="shared" si="236"/>
        <v>0</v>
      </c>
      <c r="U305" s="161">
        <f t="shared" si="236"/>
        <v>0</v>
      </c>
      <c r="V305" s="161">
        <f t="shared" si="236"/>
        <v>0</v>
      </c>
      <c r="W305" s="161">
        <f t="shared" si="236"/>
        <v>0</v>
      </c>
      <c r="X305" s="161">
        <f t="shared" si="236"/>
        <v>0</v>
      </c>
      <c r="Y305" s="161">
        <f t="shared" si="236"/>
        <v>0</v>
      </c>
      <c r="Z305" s="161">
        <f t="shared" si="236"/>
        <v>0</v>
      </c>
      <c r="AA305" s="161">
        <f t="shared" si="236"/>
        <v>0</v>
      </c>
      <c r="AB305" s="161">
        <f t="shared" si="236"/>
        <v>0</v>
      </c>
      <c r="AC305" s="161">
        <f t="shared" si="236"/>
        <v>0</v>
      </c>
      <c r="AD305" s="161">
        <f t="shared" si="236"/>
        <v>0</v>
      </c>
      <c r="AE305" s="155">
        <f t="shared" si="230"/>
        <v>0</v>
      </c>
      <c r="AF305" s="155">
        <f>AE305/'[1]Rental Revenue'!C$68</f>
        <v>0</v>
      </c>
    </row>
    <row r="306" spans="1:32">
      <c r="G306" s="169" t="s">
        <v>145</v>
      </c>
      <c r="H306" s="170"/>
      <c r="I306" s="170"/>
      <c r="J306" s="170"/>
      <c r="K306" s="170"/>
      <c r="L306" s="170"/>
      <c r="M306" s="170"/>
      <c r="N306" s="170"/>
      <c r="O306" s="170"/>
      <c r="P306" s="171"/>
      <c r="Q306" s="172"/>
      <c r="R306" s="172"/>
      <c r="S306" s="161">
        <f t="shared" ref="S306:AD306" si="237">SUMIF($B$14:$B$255,$G306,S$14:S$255)+S286</f>
        <v>0</v>
      </c>
      <c r="T306" s="161">
        <f t="shared" si="237"/>
        <v>0</v>
      </c>
      <c r="U306" s="161">
        <f t="shared" si="237"/>
        <v>0</v>
      </c>
      <c r="V306" s="161">
        <f t="shared" si="237"/>
        <v>0</v>
      </c>
      <c r="W306" s="161">
        <f t="shared" si="237"/>
        <v>0</v>
      </c>
      <c r="X306" s="161">
        <f t="shared" si="237"/>
        <v>0</v>
      </c>
      <c r="Y306" s="161">
        <f t="shared" si="237"/>
        <v>0</v>
      </c>
      <c r="Z306" s="161">
        <f t="shared" si="237"/>
        <v>0</v>
      </c>
      <c r="AA306" s="161">
        <f t="shared" si="237"/>
        <v>0</v>
      </c>
      <c r="AB306" s="161">
        <f t="shared" si="237"/>
        <v>0</v>
      </c>
      <c r="AC306" s="161">
        <f t="shared" si="237"/>
        <v>0</v>
      </c>
      <c r="AD306" s="161">
        <f t="shared" si="237"/>
        <v>0</v>
      </c>
      <c r="AE306" s="155">
        <f t="shared" si="230"/>
        <v>0</v>
      </c>
      <c r="AF306" s="155">
        <f>AE306/'[1]Rental Revenue'!C$68</f>
        <v>0</v>
      </c>
    </row>
    <row r="307" spans="1:32">
      <c r="G307" s="169" t="s">
        <v>150</v>
      </c>
      <c r="H307" s="170"/>
      <c r="I307" s="170"/>
      <c r="J307" s="170"/>
      <c r="K307" s="170"/>
      <c r="L307" s="170"/>
      <c r="M307" s="170"/>
      <c r="N307" s="170"/>
      <c r="O307" s="170"/>
      <c r="P307" s="171"/>
      <c r="Q307" s="172"/>
      <c r="R307" s="172"/>
      <c r="S307" s="161">
        <f t="shared" ref="S307:AD307" si="238">SUMIF($B$14:$B$255,$G307,S$14:S$255)+S288</f>
        <v>0</v>
      </c>
      <c r="T307" s="161">
        <f t="shared" si="238"/>
        <v>0</v>
      </c>
      <c r="U307" s="161">
        <f t="shared" si="238"/>
        <v>0</v>
      </c>
      <c r="V307" s="161">
        <f t="shared" si="238"/>
        <v>0</v>
      </c>
      <c r="W307" s="161">
        <f t="shared" si="238"/>
        <v>0</v>
      </c>
      <c r="X307" s="161">
        <f t="shared" si="238"/>
        <v>0</v>
      </c>
      <c r="Y307" s="161">
        <f t="shared" si="238"/>
        <v>0</v>
      </c>
      <c r="Z307" s="161">
        <f t="shared" si="238"/>
        <v>0</v>
      </c>
      <c r="AA307" s="161">
        <f t="shared" si="238"/>
        <v>0</v>
      </c>
      <c r="AB307" s="161">
        <f t="shared" si="238"/>
        <v>0</v>
      </c>
      <c r="AC307" s="161">
        <f t="shared" si="238"/>
        <v>0</v>
      </c>
      <c r="AD307" s="161">
        <f t="shared" si="238"/>
        <v>0</v>
      </c>
      <c r="AE307" s="155">
        <f t="shared" si="230"/>
        <v>0</v>
      </c>
      <c r="AF307" s="155">
        <f>AE307/'[1]Rental Revenue'!C$68</f>
        <v>0</v>
      </c>
    </row>
    <row r="308" spans="1:32">
      <c r="G308" s="169" t="str">
        <f>B238</f>
        <v>6390-050  AREA SUPERVISOR</v>
      </c>
      <c r="H308" s="170"/>
      <c r="I308" s="170"/>
      <c r="J308" s="170"/>
      <c r="K308" s="170"/>
      <c r="L308" s="170"/>
      <c r="M308" s="170"/>
      <c r="N308" s="170"/>
      <c r="O308" s="170"/>
      <c r="P308" s="171"/>
      <c r="Q308" s="172"/>
      <c r="R308" s="172"/>
      <c r="S308" s="161">
        <f t="shared" ref="S308:AE308" si="239">SUMIF($B$14:$B$255,$G308,S$14:S$255)+S290</f>
        <v>0</v>
      </c>
      <c r="T308" s="161">
        <f t="shared" si="239"/>
        <v>0</v>
      </c>
      <c r="U308" s="161">
        <f t="shared" si="239"/>
        <v>0</v>
      </c>
      <c r="V308" s="161">
        <f t="shared" si="239"/>
        <v>0</v>
      </c>
      <c r="W308" s="161">
        <f t="shared" si="239"/>
        <v>0</v>
      </c>
      <c r="X308" s="161">
        <f t="shared" si="239"/>
        <v>0</v>
      </c>
      <c r="Y308" s="161">
        <f t="shared" si="239"/>
        <v>0</v>
      </c>
      <c r="Z308" s="161">
        <f t="shared" si="239"/>
        <v>0</v>
      </c>
      <c r="AA308" s="161">
        <f t="shared" si="239"/>
        <v>0</v>
      </c>
      <c r="AB308" s="161">
        <f t="shared" si="239"/>
        <v>0</v>
      </c>
      <c r="AC308" s="161">
        <f t="shared" si="239"/>
        <v>0</v>
      </c>
      <c r="AD308" s="161">
        <f t="shared" si="239"/>
        <v>0</v>
      </c>
      <c r="AE308" s="161">
        <f t="shared" si="239"/>
        <v>0</v>
      </c>
      <c r="AF308" s="155">
        <f>AE308/'[1]Rental Revenue'!C$68</f>
        <v>0</v>
      </c>
    </row>
    <row r="309" spans="1:32">
      <c r="G309" s="169" t="str">
        <f>B246</f>
        <v>6500-210  OTHER MAINTENANCE PAYROLL</v>
      </c>
      <c r="H309" s="170"/>
      <c r="I309" s="170"/>
      <c r="J309" s="170"/>
      <c r="K309" s="170"/>
      <c r="L309" s="170"/>
      <c r="M309" s="170"/>
      <c r="N309" s="170"/>
      <c r="O309" s="170"/>
      <c r="P309" s="171"/>
      <c r="Q309" s="172"/>
      <c r="R309" s="172"/>
      <c r="S309" s="161">
        <f t="shared" ref="S309:AE309" si="240">SUMIF($B$14:$B$255,$G309,S$14:S$255)+S292</f>
        <v>0</v>
      </c>
      <c r="T309" s="161">
        <f t="shared" si="240"/>
        <v>0</v>
      </c>
      <c r="U309" s="161">
        <f t="shared" si="240"/>
        <v>0</v>
      </c>
      <c r="V309" s="161">
        <f t="shared" si="240"/>
        <v>0</v>
      </c>
      <c r="W309" s="161">
        <f t="shared" si="240"/>
        <v>0</v>
      </c>
      <c r="X309" s="161">
        <f t="shared" si="240"/>
        <v>0</v>
      </c>
      <c r="Y309" s="161">
        <f t="shared" si="240"/>
        <v>0</v>
      </c>
      <c r="Z309" s="161">
        <f t="shared" si="240"/>
        <v>0</v>
      </c>
      <c r="AA309" s="161">
        <f t="shared" si="240"/>
        <v>0</v>
      </c>
      <c r="AB309" s="161">
        <f t="shared" si="240"/>
        <v>0</v>
      </c>
      <c r="AC309" s="161">
        <f t="shared" si="240"/>
        <v>0</v>
      </c>
      <c r="AD309" s="161">
        <f t="shared" si="240"/>
        <v>0</v>
      </c>
      <c r="AE309" s="161">
        <f t="shared" si="240"/>
        <v>0</v>
      </c>
      <c r="AF309" s="155">
        <f>AE309/'[1]Rental Revenue'!C$68</f>
        <v>0</v>
      </c>
    </row>
    <row r="310" spans="1:32">
      <c r="G310" s="169" t="str">
        <f>B254</f>
        <v>6980-010  ACTIVITY DIRECTOR PAYROLL</v>
      </c>
      <c r="H310" s="170"/>
      <c r="I310" s="170"/>
      <c r="J310" s="170"/>
      <c r="K310" s="170"/>
      <c r="L310" s="170"/>
      <c r="M310" s="170"/>
      <c r="N310" s="170"/>
      <c r="O310" s="170"/>
      <c r="P310" s="171"/>
      <c r="Q310" s="172"/>
      <c r="R310" s="172"/>
      <c r="S310" s="161">
        <f t="shared" ref="S310:AD310" si="241">SUMIF($B$14:$B$255,$G310,S$14:S$255)+S294</f>
        <v>0</v>
      </c>
      <c r="T310" s="161">
        <f t="shared" si="241"/>
        <v>0</v>
      </c>
      <c r="U310" s="161">
        <f t="shared" si="241"/>
        <v>0</v>
      </c>
      <c r="V310" s="161">
        <f t="shared" si="241"/>
        <v>0</v>
      </c>
      <c r="W310" s="161">
        <f t="shared" si="241"/>
        <v>0</v>
      </c>
      <c r="X310" s="161">
        <f t="shared" si="241"/>
        <v>0</v>
      </c>
      <c r="Y310" s="161">
        <f t="shared" si="241"/>
        <v>0</v>
      </c>
      <c r="Z310" s="161">
        <f t="shared" si="241"/>
        <v>0</v>
      </c>
      <c r="AA310" s="161">
        <f t="shared" si="241"/>
        <v>0</v>
      </c>
      <c r="AB310" s="161">
        <f t="shared" si="241"/>
        <v>0</v>
      </c>
      <c r="AC310" s="161">
        <f t="shared" si="241"/>
        <v>0</v>
      </c>
      <c r="AD310" s="161">
        <f t="shared" si="241"/>
        <v>0</v>
      </c>
      <c r="AE310" s="155">
        <f t="shared" ref="AE310:AE316" si="242">SUM(S310:AD310)</f>
        <v>0</v>
      </c>
      <c r="AF310" s="155">
        <f>AE310/'[1]Rental Revenue'!C$68</f>
        <v>0</v>
      </c>
    </row>
    <row r="311" spans="1:32">
      <c r="G311" s="169" t="s">
        <v>162</v>
      </c>
      <c r="H311" s="170"/>
      <c r="I311" s="170"/>
      <c r="J311" s="170"/>
      <c r="K311" s="170"/>
      <c r="L311" s="170"/>
      <c r="M311" s="170"/>
      <c r="N311" s="170"/>
      <c r="O311" s="170"/>
      <c r="P311" s="171"/>
      <c r="Q311" s="172"/>
      <c r="R311" s="172"/>
      <c r="S311" s="155">
        <f t="shared" ref="S311:AD311" si="243">S18+S26+S34+S42+S50+S58+S66+S74+S82+S90+S98+S106+S114+S122+S130+S138+S146+S154+S162+S170+S178+S186+S194+S202+S210+S218+S226+S234+S258+S302*$E$5</f>
        <v>4004.9087623999999</v>
      </c>
      <c r="T311" s="155">
        <f t="shared" si="243"/>
        <v>4004.9087623999999</v>
      </c>
      <c r="U311" s="155">
        <f t="shared" si="243"/>
        <v>4061.2657623999999</v>
      </c>
      <c r="V311" s="155">
        <f t="shared" si="243"/>
        <v>4092.2621123999998</v>
      </c>
      <c r="W311" s="155">
        <f t="shared" si="243"/>
        <v>4080.9907123999997</v>
      </c>
      <c r="X311" s="155">
        <f t="shared" si="243"/>
        <v>4080.9907123999997</v>
      </c>
      <c r="Y311" s="155">
        <f t="shared" si="243"/>
        <v>6058.0844435999988</v>
      </c>
      <c r="Z311" s="155">
        <f t="shared" si="243"/>
        <v>4111.9870623999996</v>
      </c>
      <c r="AA311" s="155">
        <f t="shared" si="243"/>
        <v>4080.9907123999997</v>
      </c>
      <c r="AB311" s="155">
        <f t="shared" si="243"/>
        <v>4080.9907123999997</v>
      </c>
      <c r="AC311" s="155">
        <f t="shared" si="243"/>
        <v>4080.9907123999997</v>
      </c>
      <c r="AD311" s="155">
        <f t="shared" si="243"/>
        <v>6703.3720935999991</v>
      </c>
      <c r="AE311" s="155">
        <f t="shared" si="242"/>
        <v>53441.742561200008</v>
      </c>
      <c r="AF311" s="155">
        <f>AE311/'[1]Rental Revenue'!C$68</f>
        <v>246.27531134193552</v>
      </c>
    </row>
    <row r="312" spans="1:32">
      <c r="G312" s="169" t="s">
        <v>157</v>
      </c>
      <c r="H312" s="170"/>
      <c r="I312" s="170"/>
      <c r="J312" s="170"/>
      <c r="K312" s="170"/>
      <c r="L312" s="170"/>
      <c r="M312" s="170"/>
      <c r="N312" s="170"/>
      <c r="O312" s="170"/>
      <c r="P312" s="171"/>
      <c r="Q312" s="172"/>
      <c r="R312" s="172"/>
      <c r="S312" s="155">
        <f t="shared" ref="S312:AD312" si="244">S266</f>
        <v>256.62</v>
      </c>
      <c r="T312" s="155">
        <f t="shared" si="244"/>
        <v>256.62</v>
      </c>
      <c r="U312" s="155">
        <f t="shared" si="244"/>
        <v>256.62</v>
      </c>
      <c r="V312" s="155">
        <f t="shared" si="244"/>
        <v>256.62</v>
      </c>
      <c r="W312" s="155">
        <f t="shared" si="244"/>
        <v>256.62</v>
      </c>
      <c r="X312" s="155">
        <f t="shared" si="244"/>
        <v>256.62</v>
      </c>
      <c r="Y312" s="155">
        <f t="shared" si="244"/>
        <v>256.62</v>
      </c>
      <c r="Z312" s="155">
        <f t="shared" si="244"/>
        <v>256.62</v>
      </c>
      <c r="AA312" s="155">
        <f t="shared" si="244"/>
        <v>256.62</v>
      </c>
      <c r="AB312" s="155">
        <f t="shared" si="244"/>
        <v>256.62</v>
      </c>
      <c r="AC312" s="155">
        <f t="shared" si="244"/>
        <v>256.62</v>
      </c>
      <c r="AD312" s="155">
        <f t="shared" si="244"/>
        <v>256.62</v>
      </c>
      <c r="AE312" s="155">
        <f t="shared" si="242"/>
        <v>3079.4399999999991</v>
      </c>
      <c r="AF312" s="155">
        <f>AE312/'[1]Rental Revenue'!C$68</f>
        <v>14.190967741935481</v>
      </c>
    </row>
    <row r="313" spans="1:32">
      <c r="G313" s="169" t="s">
        <v>163</v>
      </c>
      <c r="H313" s="170"/>
      <c r="I313" s="170"/>
      <c r="J313" s="170"/>
      <c r="K313" s="170"/>
      <c r="L313" s="170"/>
      <c r="M313" s="170"/>
      <c r="N313" s="170"/>
      <c r="O313" s="170"/>
      <c r="P313" s="171"/>
      <c r="Q313" s="172"/>
      <c r="R313" s="172"/>
      <c r="S313" s="155">
        <f t="shared" ref="S313:AD313" si="245">S19+S27+S35+S43+S51+S59+S67+S75+S83+S91+S99+S107+S115+S123+S131+S139+S147+S155+S163+S171+S179+S187+S195+S203+S211+S219+S227+S235+S243+S251+S259+IF($E$9="WA",S302*$CC$6,S302*$E$6)</f>
        <v>1488.1625999999997</v>
      </c>
      <c r="T313" s="155">
        <f t="shared" si="245"/>
        <v>1488.1625999999997</v>
      </c>
      <c r="U313" s="155">
        <f t="shared" si="245"/>
        <v>1492.0125999999998</v>
      </c>
      <c r="V313" s="155">
        <f t="shared" si="245"/>
        <v>1494.1300999999996</v>
      </c>
      <c r="W313" s="155">
        <f t="shared" si="245"/>
        <v>1493.3600999999996</v>
      </c>
      <c r="X313" s="155">
        <f t="shared" si="245"/>
        <v>1493.3600999999996</v>
      </c>
      <c r="Y313" s="155">
        <f t="shared" si="245"/>
        <v>2235.7089000000001</v>
      </c>
      <c r="Z313" s="155">
        <f t="shared" si="245"/>
        <v>1495.4775999999997</v>
      </c>
      <c r="AA313" s="155">
        <f t="shared" si="245"/>
        <v>1493.3600999999996</v>
      </c>
      <c r="AB313" s="155">
        <f t="shared" si="245"/>
        <v>1493.3600999999996</v>
      </c>
      <c r="AC313" s="155">
        <f t="shared" si="245"/>
        <v>1493.3600999999996</v>
      </c>
      <c r="AD313" s="155">
        <f t="shared" si="245"/>
        <v>2279.7914000000001</v>
      </c>
      <c r="AE313" s="155">
        <f t="shared" si="242"/>
        <v>19440.246299999999</v>
      </c>
      <c r="AF313" s="155">
        <f>AE313/'[1]Rental Revenue'!C$68</f>
        <v>89.586388479262666</v>
      </c>
    </row>
    <row r="314" spans="1:32">
      <c r="G314" s="169" t="s">
        <v>164</v>
      </c>
      <c r="H314" s="170"/>
      <c r="I314" s="170"/>
      <c r="J314" s="170"/>
      <c r="K314" s="170"/>
      <c r="L314" s="170"/>
      <c r="M314" s="170"/>
      <c r="N314" s="170"/>
      <c r="O314" s="170"/>
      <c r="P314" s="171"/>
      <c r="Q314" s="172"/>
      <c r="R314" s="172"/>
      <c r="S314" s="155">
        <f t="shared" ref="S314:AD314" si="246">(S299+S300+S301+S302+S303+S304+S305+S306+S307+S310-S274-S276-S278-S280-S282-S284-S286-S288-S290-S292-S294)*$H$10</f>
        <v>1154.777</v>
      </c>
      <c r="T314" s="155">
        <f t="shared" si="246"/>
        <v>1154.777</v>
      </c>
      <c r="U314" s="155">
        <f t="shared" si="246"/>
        <v>1171.027</v>
      </c>
      <c r="V314" s="155">
        <f t="shared" si="246"/>
        <v>1179.9645</v>
      </c>
      <c r="W314" s="155">
        <f t="shared" si="246"/>
        <v>1176.7145</v>
      </c>
      <c r="X314" s="155">
        <f t="shared" si="246"/>
        <v>1176.7145</v>
      </c>
      <c r="Y314" s="155">
        <f t="shared" si="246"/>
        <v>1746.7904999999998</v>
      </c>
      <c r="Z314" s="155">
        <f t="shared" si="246"/>
        <v>1185.652</v>
      </c>
      <c r="AA314" s="155">
        <f t="shared" si="246"/>
        <v>1176.7145</v>
      </c>
      <c r="AB314" s="155">
        <f t="shared" si="246"/>
        <v>1176.7145</v>
      </c>
      <c r="AC314" s="155">
        <f t="shared" si="246"/>
        <v>1176.7145</v>
      </c>
      <c r="AD314" s="155">
        <f t="shared" si="246"/>
        <v>1932.8529999999998</v>
      </c>
      <c r="AE314" s="155">
        <f t="shared" si="242"/>
        <v>15409.413499999999</v>
      </c>
      <c r="AF314" s="155">
        <f>AE314/'[1]Rental Revenue'!C$68</f>
        <v>71.011122119815667</v>
      </c>
    </row>
    <row r="315" spans="1:32">
      <c r="G315" s="169" t="s">
        <v>165</v>
      </c>
      <c r="H315" s="170"/>
      <c r="I315" s="170"/>
      <c r="J315" s="170"/>
      <c r="K315" s="170"/>
      <c r="L315" s="170"/>
      <c r="M315" s="170"/>
      <c r="N315" s="170"/>
      <c r="O315" s="170"/>
      <c r="P315" s="171"/>
      <c r="Q315" s="172"/>
      <c r="R315" s="172"/>
      <c r="S315" s="155">
        <f t="shared" ref="S315:AD315" si="247">S20+S28+S36+S44+S52+S60+S68+S76+S84+S92+S100+S108+S116+S124+S132+S140+S148+S156+S164+S172+S180+S188+S196+S204+S212+S220+S228+S236+S244+S252+S260</f>
        <v>538.46153846153845</v>
      </c>
      <c r="T315" s="155">
        <f t="shared" si="247"/>
        <v>538.46153846153845</v>
      </c>
      <c r="U315" s="155">
        <f t="shared" si="247"/>
        <v>538.46153846153845</v>
      </c>
      <c r="V315" s="155">
        <f t="shared" si="247"/>
        <v>538.46153846153845</v>
      </c>
      <c r="W315" s="155">
        <f t="shared" si="247"/>
        <v>538.46153846153845</v>
      </c>
      <c r="X315" s="155">
        <f t="shared" si="247"/>
        <v>538.46153846153845</v>
      </c>
      <c r="Y315" s="155">
        <f t="shared" si="247"/>
        <v>807.69230769230762</v>
      </c>
      <c r="Z315" s="155">
        <f t="shared" si="247"/>
        <v>538.46153846153845</v>
      </c>
      <c r="AA315" s="155">
        <f t="shared" si="247"/>
        <v>538.46153846153845</v>
      </c>
      <c r="AB315" s="155">
        <f t="shared" si="247"/>
        <v>538.46153846153845</v>
      </c>
      <c r="AC315" s="155">
        <f t="shared" si="247"/>
        <v>538.46153846153845</v>
      </c>
      <c r="AD315" s="155">
        <f t="shared" si="247"/>
        <v>807.69230769230762</v>
      </c>
      <c r="AE315" s="155">
        <f t="shared" si="242"/>
        <v>6999.9999999999991</v>
      </c>
      <c r="AF315" s="155">
        <f>AE315/'[1]Rental Revenue'!C$68</f>
        <v>32.258064516129025</v>
      </c>
    </row>
    <row r="316" spans="1:32">
      <c r="G316" s="169" t="s">
        <v>158</v>
      </c>
      <c r="H316" s="170"/>
      <c r="I316" s="170"/>
      <c r="J316" s="170"/>
      <c r="K316" s="170"/>
      <c r="L316" s="170"/>
      <c r="M316" s="170"/>
      <c r="N316" s="170"/>
      <c r="O316" s="170"/>
      <c r="P316" s="171"/>
      <c r="Q316" s="172"/>
      <c r="R316" s="172"/>
      <c r="S316" s="155">
        <f t="shared" ref="S316:AD316" si="248">S269</f>
        <v>3752.5250000000005</v>
      </c>
      <c r="T316" s="155">
        <f t="shared" si="248"/>
        <v>7505.0500000000011</v>
      </c>
      <c r="U316" s="155">
        <f t="shared" si="248"/>
        <v>7505.0500000000011</v>
      </c>
      <c r="V316" s="155">
        <f t="shared" si="248"/>
        <v>7505.0500000000011</v>
      </c>
      <c r="W316" s="155">
        <f t="shared" si="248"/>
        <v>7505.0500000000011</v>
      </c>
      <c r="X316" s="155">
        <f t="shared" si="248"/>
        <v>7505.0500000000011</v>
      </c>
      <c r="Y316" s="155">
        <f t="shared" si="248"/>
        <v>7505.0500000000011</v>
      </c>
      <c r="Z316" s="155">
        <f t="shared" si="248"/>
        <v>7505.0500000000011</v>
      </c>
      <c r="AA316" s="155">
        <f t="shared" si="248"/>
        <v>7505.0500000000011</v>
      </c>
      <c r="AB316" s="155">
        <f t="shared" si="248"/>
        <v>7505.0500000000011</v>
      </c>
      <c r="AC316" s="155">
        <f t="shared" si="248"/>
        <v>7505.0500000000011</v>
      </c>
      <c r="AD316" s="155">
        <f t="shared" si="248"/>
        <v>11257.575000000001</v>
      </c>
      <c r="AE316" s="155">
        <f t="shared" si="242"/>
        <v>90060.60000000002</v>
      </c>
      <c r="AF316" s="155">
        <f>AE316/'[1]Rental Revenue'!C$68</f>
        <v>415.02580645161299</v>
      </c>
    </row>
    <row r="317" spans="1:32">
      <c r="G317" s="169" t="s">
        <v>51</v>
      </c>
      <c r="H317" s="170"/>
      <c r="I317" s="170"/>
      <c r="J317" s="170"/>
      <c r="K317" s="170"/>
      <c r="L317" s="170"/>
      <c r="M317" s="170"/>
      <c r="N317" s="170"/>
      <c r="O317" s="170"/>
      <c r="P317" s="171"/>
      <c r="Q317" s="172"/>
      <c r="R317" s="172"/>
      <c r="S317" s="155">
        <f t="shared" ref="S317:AE317" si="249">SUM(S299:S316)</f>
        <v>46912.054900861549</v>
      </c>
      <c r="T317" s="155">
        <f t="shared" si="249"/>
        <v>50664.57990086155</v>
      </c>
      <c r="U317" s="155">
        <f t="shared" si="249"/>
        <v>51241.036900861545</v>
      </c>
      <c r="V317" s="155">
        <f t="shared" si="249"/>
        <v>51558.088250861547</v>
      </c>
      <c r="W317" s="155">
        <f t="shared" si="249"/>
        <v>51442.796850861545</v>
      </c>
      <c r="X317" s="155">
        <f t="shared" si="249"/>
        <v>51442.796850861545</v>
      </c>
      <c r="Y317" s="155">
        <f t="shared" si="249"/>
        <v>72542.346151292295</v>
      </c>
      <c r="Z317" s="155">
        <f t="shared" si="249"/>
        <v>51759.848200861539</v>
      </c>
      <c r="AA317" s="155">
        <f t="shared" si="249"/>
        <v>51442.796850861545</v>
      </c>
      <c r="AB317" s="155">
        <f t="shared" si="249"/>
        <v>51442.796850861545</v>
      </c>
      <c r="AC317" s="155">
        <f t="shared" si="249"/>
        <v>51442.796850861545</v>
      </c>
      <c r="AD317" s="155">
        <f t="shared" si="249"/>
        <v>82895.303801292306</v>
      </c>
      <c r="AE317" s="155">
        <f t="shared" si="249"/>
        <v>664787.24236119993</v>
      </c>
      <c r="AF317" s="155">
        <f>AE317/'[1]Rental Revenue'!C$68</f>
        <v>3063.5356790838705</v>
      </c>
    </row>
    <row r="320" spans="1:32" ht="96" customHeight="1">
      <c r="A320" s="173" t="str">
        <f>"Health benefits are billed to the properties in the first 2 paychecks of the month.  Each billing is half the monthly amount.  Payroll is billed to the properties on the Wednesday before the Friday payday."&amp;" So when a Friday payday is on the first or second day of the month, that payroll and half health benefit billing is billed to the property in the prior month.  
"&amp;"Example: The monthly health benefit per employee for 2025 is budgeted to be $"&amp;E7&amp;".  The half health benefit billing for each of the first two paydays of a month will be $"&amp;ROUND(E7/2,2)&amp;" per employee ($"&amp;E7&amp;"/2). "</f>
        <v xml:space="preserve">Health benefits are billed to the properties in the first 2 paychecks of the month.  Each billing is half the monthly amount.  Payroll is billed to the properties on the Wednesday before the Friday payday. So when a Friday payday is on the first or second day of the month, that payroll and half health benefit billing is billed to the property in the prior month.  
Example: The monthly health benefit per employee for 2025 is budgeted to be $1072.15.  The half health benefit billing for each of the first two paydays of a month will be $536.08 per employee ($1072.15/2). </v>
      </c>
      <c r="B320" s="174"/>
      <c r="C320" s="175"/>
      <c r="D320" s="175"/>
      <c r="E320" s="175"/>
      <c r="F320" s="175"/>
      <c r="G320" s="175"/>
      <c r="H320" s="175"/>
      <c r="I320" s="175"/>
      <c r="J320" s="176"/>
    </row>
    <row r="321" spans="3:8">
      <c r="H321" s="177">
        <f>E7</f>
        <v>1072.1500000000001</v>
      </c>
    </row>
    <row r="322" spans="3:8" ht="92.65" customHeight="1">
      <c r="C322" s="178" t="s">
        <v>166</v>
      </c>
      <c r="D322" s="179" t="s">
        <v>167</v>
      </c>
      <c r="E322" s="179" t="s">
        <v>168</v>
      </c>
      <c r="F322" s="180" t="s">
        <v>169</v>
      </c>
      <c r="G322" s="180" t="s">
        <v>170</v>
      </c>
      <c r="H322" s="181"/>
    </row>
    <row r="323" spans="3:8">
      <c r="C323" s="182">
        <v>46038</v>
      </c>
      <c r="D323" s="182">
        <f t="shared" ref="D323:D348" si="250">C323-2</f>
        <v>46036</v>
      </c>
      <c r="E323" s="183">
        <v>1</v>
      </c>
      <c r="F323" s="183"/>
      <c r="G323" s="183"/>
      <c r="H323" s="181"/>
    </row>
    <row r="324" spans="3:8">
      <c r="C324" s="182">
        <f t="shared" ref="C324:C348" si="251">C323+14</f>
        <v>46052</v>
      </c>
      <c r="D324" s="182">
        <f t="shared" si="250"/>
        <v>46050</v>
      </c>
      <c r="E324" s="183">
        <v>0</v>
      </c>
      <c r="F324" s="183">
        <f>E323+E324</f>
        <v>1</v>
      </c>
      <c r="G324" s="184">
        <f>F324*$E$7/2</f>
        <v>536.07500000000005</v>
      </c>
      <c r="H324" s="181" t="s">
        <v>171</v>
      </c>
    </row>
    <row r="325" spans="3:8">
      <c r="C325" s="182">
        <f t="shared" si="251"/>
        <v>46066</v>
      </c>
      <c r="D325" s="182">
        <f t="shared" si="250"/>
        <v>46064</v>
      </c>
      <c r="E325" s="183">
        <v>1</v>
      </c>
      <c r="F325" s="183"/>
      <c r="G325" s="185"/>
      <c r="H325" s="181"/>
    </row>
    <row r="326" spans="3:8">
      <c r="C326" s="182">
        <f t="shared" si="251"/>
        <v>46080</v>
      </c>
      <c r="D326" s="182">
        <f t="shared" si="250"/>
        <v>46078</v>
      </c>
      <c r="E326" s="183">
        <v>1</v>
      </c>
      <c r="F326" s="183">
        <f>E325+E326</f>
        <v>2</v>
      </c>
      <c r="G326" s="186">
        <f>F326*$E$7/2</f>
        <v>1072.1500000000001</v>
      </c>
      <c r="H326" s="181" t="s">
        <v>172</v>
      </c>
    </row>
    <row r="327" spans="3:8">
      <c r="C327" s="182">
        <f t="shared" si="251"/>
        <v>46094</v>
      </c>
      <c r="D327" s="182">
        <f t="shared" si="250"/>
        <v>46092</v>
      </c>
      <c r="E327" s="183">
        <v>1</v>
      </c>
      <c r="F327" s="183"/>
      <c r="G327" s="185"/>
      <c r="H327" s="181"/>
    </row>
    <row r="328" spans="3:8">
      <c r="C328" s="182">
        <f t="shared" si="251"/>
        <v>46108</v>
      </c>
      <c r="D328" s="182">
        <f t="shared" si="250"/>
        <v>46106</v>
      </c>
      <c r="E328" s="183">
        <v>1</v>
      </c>
      <c r="F328" s="183">
        <f>E327+E328</f>
        <v>2</v>
      </c>
      <c r="G328" s="186">
        <f>F328*$E$7/2</f>
        <v>1072.1500000000001</v>
      </c>
      <c r="H328" s="181" t="s">
        <v>173</v>
      </c>
    </row>
    <row r="329" spans="3:8">
      <c r="C329" s="182">
        <f t="shared" si="251"/>
        <v>46122</v>
      </c>
      <c r="D329" s="182">
        <f t="shared" si="250"/>
        <v>46120</v>
      </c>
      <c r="E329" s="183">
        <v>1</v>
      </c>
      <c r="F329" s="183"/>
      <c r="G329" s="185"/>
      <c r="H329" s="181"/>
    </row>
    <row r="330" spans="3:8">
      <c r="C330" s="182">
        <f t="shared" si="251"/>
        <v>46136</v>
      </c>
      <c r="D330" s="182">
        <f t="shared" si="250"/>
        <v>46134</v>
      </c>
      <c r="E330" s="183">
        <v>1</v>
      </c>
      <c r="F330" s="183">
        <f>E329+E330</f>
        <v>2</v>
      </c>
      <c r="G330" s="186">
        <f>F330*$E$7/2</f>
        <v>1072.1500000000001</v>
      </c>
      <c r="H330" s="181" t="s">
        <v>174</v>
      </c>
    </row>
    <row r="331" spans="3:8">
      <c r="C331" s="182">
        <f t="shared" si="251"/>
        <v>46150</v>
      </c>
      <c r="D331" s="182">
        <f t="shared" si="250"/>
        <v>46148</v>
      </c>
      <c r="E331" s="183">
        <v>1</v>
      </c>
      <c r="F331" s="183"/>
      <c r="G331" s="185"/>
      <c r="H331" s="181"/>
    </row>
    <row r="332" spans="3:8">
      <c r="C332" s="182">
        <f t="shared" si="251"/>
        <v>46164</v>
      </c>
      <c r="D332" s="182">
        <f t="shared" si="250"/>
        <v>46162</v>
      </c>
      <c r="E332" s="183">
        <v>1</v>
      </c>
      <c r="F332" s="183">
        <f>E331+E332</f>
        <v>2</v>
      </c>
      <c r="G332" s="186">
        <f>F332*$E$7/2</f>
        <v>1072.1500000000001</v>
      </c>
      <c r="H332" s="181" t="s">
        <v>175</v>
      </c>
    </row>
    <row r="333" spans="3:8">
      <c r="C333" s="182">
        <f t="shared" si="251"/>
        <v>46178</v>
      </c>
      <c r="D333" s="182">
        <f t="shared" si="250"/>
        <v>46176</v>
      </c>
      <c r="E333" s="183">
        <v>1</v>
      </c>
      <c r="F333" s="183"/>
      <c r="G333" s="185"/>
      <c r="H333" s="181"/>
    </row>
    <row r="334" spans="3:8">
      <c r="C334" s="182">
        <f t="shared" si="251"/>
        <v>46192</v>
      </c>
      <c r="D334" s="182">
        <f t="shared" si="250"/>
        <v>46190</v>
      </c>
      <c r="E334" s="183">
        <v>1</v>
      </c>
      <c r="F334" s="183">
        <f>E333+E334</f>
        <v>2</v>
      </c>
      <c r="G334" s="186">
        <f>F334*$E$7/2</f>
        <v>1072.1500000000001</v>
      </c>
      <c r="H334" s="181" t="s">
        <v>176</v>
      </c>
    </row>
    <row r="335" spans="3:8">
      <c r="C335" s="182">
        <f t="shared" si="251"/>
        <v>46206</v>
      </c>
      <c r="D335" s="187">
        <f t="shared" si="250"/>
        <v>46204</v>
      </c>
      <c r="E335" s="183">
        <v>1</v>
      </c>
      <c r="F335" s="183"/>
      <c r="G335" s="185"/>
      <c r="H335" s="181"/>
    </row>
    <row r="336" spans="3:8">
      <c r="C336" s="182">
        <f t="shared" si="251"/>
        <v>46220</v>
      </c>
      <c r="D336" s="187">
        <f t="shared" si="250"/>
        <v>46218</v>
      </c>
      <c r="E336" s="183">
        <v>1</v>
      </c>
      <c r="F336" s="183"/>
      <c r="G336" s="183"/>
      <c r="H336" s="181"/>
    </row>
    <row r="337" spans="3:8">
      <c r="C337" s="182">
        <f t="shared" si="251"/>
        <v>46234</v>
      </c>
      <c r="D337" s="187">
        <f t="shared" si="250"/>
        <v>46232</v>
      </c>
      <c r="E337" s="183">
        <v>0</v>
      </c>
      <c r="F337" s="183">
        <f>E335+E336+E337</f>
        <v>2</v>
      </c>
      <c r="G337" s="186">
        <f>F337*$E$7/2</f>
        <v>1072.1500000000001</v>
      </c>
      <c r="H337" s="181" t="s">
        <v>177</v>
      </c>
    </row>
    <row r="338" spans="3:8">
      <c r="C338" s="182">
        <f t="shared" si="251"/>
        <v>46248</v>
      </c>
      <c r="D338" s="182">
        <f t="shared" si="250"/>
        <v>46246</v>
      </c>
      <c r="E338" s="183">
        <v>1</v>
      </c>
      <c r="F338" s="183"/>
      <c r="G338" s="185"/>
      <c r="H338" s="181"/>
    </row>
    <row r="339" spans="3:8">
      <c r="C339" s="182">
        <f t="shared" si="251"/>
        <v>46262</v>
      </c>
      <c r="D339" s="182">
        <f t="shared" si="250"/>
        <v>46260</v>
      </c>
      <c r="E339" s="183">
        <v>1</v>
      </c>
      <c r="F339" s="183">
        <f>E338+E339</f>
        <v>2</v>
      </c>
      <c r="G339" s="186">
        <f>F339*$E$7/2</f>
        <v>1072.1500000000001</v>
      </c>
      <c r="H339" s="181" t="s">
        <v>178</v>
      </c>
    </row>
    <row r="340" spans="3:8">
      <c r="C340" s="182">
        <f t="shared" si="251"/>
        <v>46276</v>
      </c>
      <c r="D340" s="182">
        <f t="shared" si="250"/>
        <v>46274</v>
      </c>
      <c r="E340" s="183">
        <v>1</v>
      </c>
      <c r="F340" s="183"/>
      <c r="G340" s="183"/>
      <c r="H340" s="181"/>
    </row>
    <row r="341" spans="3:8">
      <c r="C341" s="182">
        <f t="shared" si="251"/>
        <v>46290</v>
      </c>
      <c r="D341" s="182">
        <f t="shared" si="250"/>
        <v>46288</v>
      </c>
      <c r="E341" s="183">
        <v>1</v>
      </c>
      <c r="F341" s="183">
        <f>E340+E341</f>
        <v>2</v>
      </c>
      <c r="G341" s="186">
        <f>F341*$E$7/2</f>
        <v>1072.1500000000001</v>
      </c>
      <c r="H341" s="181" t="s">
        <v>179</v>
      </c>
    </row>
    <row r="342" spans="3:8">
      <c r="C342" s="182">
        <f t="shared" si="251"/>
        <v>46304</v>
      </c>
      <c r="D342" s="182">
        <f t="shared" si="250"/>
        <v>46302</v>
      </c>
      <c r="E342" s="183">
        <v>1</v>
      </c>
      <c r="F342" s="183"/>
      <c r="G342" s="185"/>
      <c r="H342" s="181"/>
    </row>
    <row r="343" spans="3:8">
      <c r="C343" s="182">
        <f t="shared" si="251"/>
        <v>46318</v>
      </c>
      <c r="D343" s="182">
        <f t="shared" si="250"/>
        <v>46316</v>
      </c>
      <c r="E343" s="183">
        <v>1</v>
      </c>
      <c r="F343" s="183">
        <f>E342+E343</f>
        <v>2</v>
      </c>
      <c r="G343" s="186">
        <f>F343*$E$7/2</f>
        <v>1072.1500000000001</v>
      </c>
      <c r="H343" s="181" t="s">
        <v>180</v>
      </c>
    </row>
    <row r="344" spans="3:8">
      <c r="C344" s="182">
        <f t="shared" si="251"/>
        <v>46332</v>
      </c>
      <c r="D344" s="182">
        <f t="shared" si="250"/>
        <v>46330</v>
      </c>
      <c r="E344" s="183">
        <v>1</v>
      </c>
      <c r="F344" s="183"/>
      <c r="G344" s="185"/>
      <c r="H344" s="181"/>
    </row>
    <row r="345" spans="3:8">
      <c r="C345" s="182">
        <f t="shared" si="251"/>
        <v>46346</v>
      </c>
      <c r="D345" s="182">
        <f t="shared" si="250"/>
        <v>46344</v>
      </c>
      <c r="E345" s="183">
        <v>1</v>
      </c>
      <c r="F345" s="183">
        <f>E344+E345</f>
        <v>2</v>
      </c>
      <c r="G345" s="186">
        <f>F345*$E$7/2</f>
        <v>1072.1500000000001</v>
      </c>
      <c r="H345" s="181" t="s">
        <v>181</v>
      </c>
    </row>
    <row r="346" spans="3:8">
      <c r="C346" s="182">
        <f t="shared" si="251"/>
        <v>46360</v>
      </c>
      <c r="D346" s="187">
        <f t="shared" si="250"/>
        <v>46358</v>
      </c>
      <c r="E346" s="183">
        <v>1</v>
      </c>
      <c r="F346" s="183"/>
      <c r="G346" s="185"/>
      <c r="H346" s="181"/>
    </row>
    <row r="347" spans="3:8">
      <c r="C347" s="182">
        <f t="shared" si="251"/>
        <v>46374</v>
      </c>
      <c r="D347" s="187">
        <f t="shared" si="250"/>
        <v>46372</v>
      </c>
      <c r="E347" s="183">
        <v>1</v>
      </c>
      <c r="F347" s="183"/>
      <c r="G347" s="183"/>
      <c r="H347" s="181"/>
    </row>
    <row r="348" spans="3:8">
      <c r="C348" s="182">
        <f t="shared" si="251"/>
        <v>46388</v>
      </c>
      <c r="D348" s="187">
        <f t="shared" si="250"/>
        <v>46386</v>
      </c>
      <c r="E348" s="183">
        <v>1</v>
      </c>
      <c r="F348" s="183">
        <f>E346+E347+E348</f>
        <v>3</v>
      </c>
      <c r="G348" s="186">
        <f>F348*$E$7/2</f>
        <v>1608.2250000000001</v>
      </c>
      <c r="H348" s="181" t="s">
        <v>182</v>
      </c>
    </row>
    <row r="349" spans="3:8">
      <c r="E349" s="183">
        <f>SUM(E323:E348)</f>
        <v>24</v>
      </c>
      <c r="F349" s="183">
        <f>SUM(F323:F348)</f>
        <v>24</v>
      </c>
      <c r="G349" s="188">
        <f>SUM(G323:G348)</f>
        <v>12865.8</v>
      </c>
    </row>
    <row r="352" spans="3:8">
      <c r="C352" s="189" t="s">
        <v>183</v>
      </c>
      <c r="D352" s="189"/>
      <c r="E352" s="189"/>
    </row>
  </sheetData>
  <autoFilter ref="A3:A295" xr:uid="{00000000-0009-0000-0000-00000E000000}">
    <filterColumn colId="0">
      <filters blank="1"/>
    </filterColumn>
  </autoFilter>
  <mergeCells count="674">
    <mergeCell ref="AE286:AE287"/>
    <mergeCell ref="AE288:AE289"/>
    <mergeCell ref="AE290:AE291"/>
    <mergeCell ref="AE292:AE293"/>
    <mergeCell ref="AE294:AE295"/>
    <mergeCell ref="A320:I320"/>
    <mergeCell ref="AE274:AE275"/>
    <mergeCell ref="AE276:AE277"/>
    <mergeCell ref="AE278:AE279"/>
    <mergeCell ref="AE280:AE281"/>
    <mergeCell ref="AE282:AE283"/>
    <mergeCell ref="AE284:AE285"/>
    <mergeCell ref="AE264:AE265"/>
    <mergeCell ref="B266:B267"/>
    <mergeCell ref="C266:C267"/>
    <mergeCell ref="AE266:AE267"/>
    <mergeCell ref="C269:R270"/>
    <mergeCell ref="AE269:AE270"/>
    <mergeCell ref="D258:R258"/>
    <mergeCell ref="F259:R259"/>
    <mergeCell ref="D261:R261"/>
    <mergeCell ref="B264:B265"/>
    <mergeCell ref="C264:C265"/>
    <mergeCell ref="D264:R265"/>
    <mergeCell ref="N254:N255"/>
    <mergeCell ref="O254:O255"/>
    <mergeCell ref="P254:P255"/>
    <mergeCell ref="Q254:Q255"/>
    <mergeCell ref="R254:R255"/>
    <mergeCell ref="AE254:AE255"/>
    <mergeCell ref="H254:H255"/>
    <mergeCell ref="I254:I255"/>
    <mergeCell ref="J254:J255"/>
    <mergeCell ref="K254:K255"/>
    <mergeCell ref="L254:L255"/>
    <mergeCell ref="M254:M255"/>
    <mergeCell ref="B254:B255"/>
    <mergeCell ref="C254:C255"/>
    <mergeCell ref="D254:D255"/>
    <mergeCell ref="E254:E255"/>
    <mergeCell ref="F254:F255"/>
    <mergeCell ref="G254:G255"/>
    <mergeCell ref="Q246:Q247"/>
    <mergeCell ref="R246:R247"/>
    <mergeCell ref="AE246:AE247"/>
    <mergeCell ref="D250:R250"/>
    <mergeCell ref="F251:R251"/>
    <mergeCell ref="D253:R253"/>
    <mergeCell ref="K246:K247"/>
    <mergeCell ref="L246:L247"/>
    <mergeCell ref="M246:M247"/>
    <mergeCell ref="N246:N247"/>
    <mergeCell ref="O246:O247"/>
    <mergeCell ref="P246:P247"/>
    <mergeCell ref="D245:R245"/>
    <mergeCell ref="B246:B247"/>
    <mergeCell ref="C246:C247"/>
    <mergeCell ref="D246:D247"/>
    <mergeCell ref="E246:E247"/>
    <mergeCell ref="F246:F247"/>
    <mergeCell ref="G246:G247"/>
    <mergeCell ref="H246:H247"/>
    <mergeCell ref="I246:I247"/>
    <mergeCell ref="J246:J247"/>
    <mergeCell ref="P238:P239"/>
    <mergeCell ref="Q238:Q239"/>
    <mergeCell ref="R238:R239"/>
    <mergeCell ref="AE238:AE239"/>
    <mergeCell ref="D242:R242"/>
    <mergeCell ref="F243:R243"/>
    <mergeCell ref="J238:J239"/>
    <mergeCell ref="K238:K239"/>
    <mergeCell ref="L238:L239"/>
    <mergeCell ref="M238:M239"/>
    <mergeCell ref="N238:N239"/>
    <mergeCell ref="O238:O239"/>
    <mergeCell ref="D235:R235"/>
    <mergeCell ref="D237:R237"/>
    <mergeCell ref="B238:B239"/>
    <mergeCell ref="C238:C239"/>
    <mergeCell ref="D238:D239"/>
    <mergeCell ref="E238:E239"/>
    <mergeCell ref="F238:F239"/>
    <mergeCell ref="G238:G239"/>
    <mergeCell ref="H238:H239"/>
    <mergeCell ref="I238:I239"/>
    <mergeCell ref="O230:O231"/>
    <mergeCell ref="P230:P231"/>
    <mergeCell ref="Q230:Q231"/>
    <mergeCell ref="R230:R231"/>
    <mergeCell ref="AE230:AE231"/>
    <mergeCell ref="D234:R234"/>
    <mergeCell ref="I230:I231"/>
    <mergeCell ref="J230:J231"/>
    <mergeCell ref="K230:K231"/>
    <mergeCell ref="L230:L231"/>
    <mergeCell ref="M230:M231"/>
    <mergeCell ref="N230:N231"/>
    <mergeCell ref="D226:R226"/>
    <mergeCell ref="D227:R227"/>
    <mergeCell ref="D229:R229"/>
    <mergeCell ref="B230:B231"/>
    <mergeCell ref="C230:C231"/>
    <mergeCell ref="D230:D231"/>
    <mergeCell ref="E230:E231"/>
    <mergeCell ref="F230:F231"/>
    <mergeCell ref="G230:G231"/>
    <mergeCell ref="H230:H231"/>
    <mergeCell ref="N222:N223"/>
    <mergeCell ref="O222:O223"/>
    <mergeCell ref="P222:P223"/>
    <mergeCell ref="Q222:Q223"/>
    <mergeCell ref="R222:R223"/>
    <mergeCell ref="AE222:AE223"/>
    <mergeCell ref="H222:H223"/>
    <mergeCell ref="I222:I223"/>
    <mergeCell ref="J222:J223"/>
    <mergeCell ref="K222:K223"/>
    <mergeCell ref="L222:L223"/>
    <mergeCell ref="M222:M223"/>
    <mergeCell ref="B222:B223"/>
    <mergeCell ref="C222:C223"/>
    <mergeCell ref="D222:D223"/>
    <mergeCell ref="E222:E223"/>
    <mergeCell ref="F222:F223"/>
    <mergeCell ref="G222:G223"/>
    <mergeCell ref="Q214:Q215"/>
    <mergeCell ref="R214:R215"/>
    <mergeCell ref="AE214:AE215"/>
    <mergeCell ref="D218:R218"/>
    <mergeCell ref="D219:R219"/>
    <mergeCell ref="D221:R221"/>
    <mergeCell ref="K214:K215"/>
    <mergeCell ref="L214:L215"/>
    <mergeCell ref="M214:M215"/>
    <mergeCell ref="N214:N215"/>
    <mergeCell ref="O214:O215"/>
    <mergeCell ref="P214:P215"/>
    <mergeCell ref="D213:R213"/>
    <mergeCell ref="B214:B215"/>
    <mergeCell ref="C214:C215"/>
    <mergeCell ref="D214:D215"/>
    <mergeCell ref="E214:E215"/>
    <mergeCell ref="F214:F215"/>
    <mergeCell ref="G214:G215"/>
    <mergeCell ref="H214:H215"/>
    <mergeCell ref="I214:I215"/>
    <mergeCell ref="J214:J215"/>
    <mergeCell ref="P206:P207"/>
    <mergeCell ref="Q206:Q207"/>
    <mergeCell ref="R206:R207"/>
    <mergeCell ref="AE206:AE207"/>
    <mergeCell ref="D210:R210"/>
    <mergeCell ref="D211:R211"/>
    <mergeCell ref="J206:J207"/>
    <mergeCell ref="K206:K207"/>
    <mergeCell ref="L206:L207"/>
    <mergeCell ref="M206:M207"/>
    <mergeCell ref="N206:N207"/>
    <mergeCell ref="O206:O207"/>
    <mergeCell ref="D203:R203"/>
    <mergeCell ref="D205:R205"/>
    <mergeCell ref="B206:B207"/>
    <mergeCell ref="C206:C207"/>
    <mergeCell ref="D206:D207"/>
    <mergeCell ref="E206:E207"/>
    <mergeCell ref="F206:F207"/>
    <mergeCell ref="G206:G207"/>
    <mergeCell ref="H206:H207"/>
    <mergeCell ref="I206:I207"/>
    <mergeCell ref="O198:O199"/>
    <mergeCell ref="P198:P199"/>
    <mergeCell ref="Q198:Q199"/>
    <mergeCell ref="R198:R199"/>
    <mergeCell ref="AE198:AE199"/>
    <mergeCell ref="D202:R202"/>
    <mergeCell ref="I198:I199"/>
    <mergeCell ref="J198:J199"/>
    <mergeCell ref="K198:K199"/>
    <mergeCell ref="L198:L199"/>
    <mergeCell ref="M198:M199"/>
    <mergeCell ref="N198:N199"/>
    <mergeCell ref="D194:R194"/>
    <mergeCell ref="D195:R195"/>
    <mergeCell ref="D197:R197"/>
    <mergeCell ref="B198:B199"/>
    <mergeCell ref="C198:C199"/>
    <mergeCell ref="D198:D199"/>
    <mergeCell ref="E198:E199"/>
    <mergeCell ref="F198:F199"/>
    <mergeCell ref="G198:G199"/>
    <mergeCell ref="H198:H199"/>
    <mergeCell ref="N190:N191"/>
    <mergeCell ref="O190:O191"/>
    <mergeCell ref="P190:P191"/>
    <mergeCell ref="Q190:Q191"/>
    <mergeCell ref="R190:R191"/>
    <mergeCell ref="AE190:AE191"/>
    <mergeCell ref="H190:H191"/>
    <mergeCell ref="I190:I191"/>
    <mergeCell ref="J190:J191"/>
    <mergeCell ref="K190:K191"/>
    <mergeCell ref="L190:L191"/>
    <mergeCell ref="M190:M191"/>
    <mergeCell ref="B190:B191"/>
    <mergeCell ref="C190:C191"/>
    <mergeCell ref="D190:D191"/>
    <mergeCell ref="E190:E191"/>
    <mergeCell ref="F190:F191"/>
    <mergeCell ref="G190:G191"/>
    <mergeCell ref="Q182:Q183"/>
    <mergeCell ref="R182:R183"/>
    <mergeCell ref="AE182:AE183"/>
    <mergeCell ref="D186:R186"/>
    <mergeCell ref="D187:R187"/>
    <mergeCell ref="D189:R189"/>
    <mergeCell ref="K182:K183"/>
    <mergeCell ref="L182:L183"/>
    <mergeCell ref="M182:M183"/>
    <mergeCell ref="N182:N183"/>
    <mergeCell ref="O182:O183"/>
    <mergeCell ref="P182:P183"/>
    <mergeCell ref="D181:R181"/>
    <mergeCell ref="B182:B183"/>
    <mergeCell ref="C182:C183"/>
    <mergeCell ref="D182:D183"/>
    <mergeCell ref="E182:E183"/>
    <mergeCell ref="F182:F183"/>
    <mergeCell ref="G182:G183"/>
    <mergeCell ref="H182:H183"/>
    <mergeCell ref="I182:I183"/>
    <mergeCell ref="J182:J183"/>
    <mergeCell ref="P174:P175"/>
    <mergeCell ref="Q174:Q175"/>
    <mergeCell ref="R174:R175"/>
    <mergeCell ref="AE174:AE175"/>
    <mergeCell ref="D178:R178"/>
    <mergeCell ref="D179:R179"/>
    <mergeCell ref="J174:J175"/>
    <mergeCell ref="K174:K175"/>
    <mergeCell ref="L174:L175"/>
    <mergeCell ref="M174:M175"/>
    <mergeCell ref="N174:N175"/>
    <mergeCell ref="O174:O175"/>
    <mergeCell ref="D171:R171"/>
    <mergeCell ref="D173:R173"/>
    <mergeCell ref="B174:B175"/>
    <mergeCell ref="C174:C175"/>
    <mergeCell ref="D174:D175"/>
    <mergeCell ref="E174:E175"/>
    <mergeCell ref="F174:F175"/>
    <mergeCell ref="G174:G175"/>
    <mergeCell ref="H174:H175"/>
    <mergeCell ref="I174:I175"/>
    <mergeCell ref="O166:O167"/>
    <mergeCell ref="P166:P167"/>
    <mergeCell ref="Q166:Q167"/>
    <mergeCell ref="R166:R167"/>
    <mergeCell ref="AE166:AE167"/>
    <mergeCell ref="D170:R170"/>
    <mergeCell ref="I166:I167"/>
    <mergeCell ref="J166:J167"/>
    <mergeCell ref="K166:K167"/>
    <mergeCell ref="L166:L167"/>
    <mergeCell ref="M166:M167"/>
    <mergeCell ref="N166:N167"/>
    <mergeCell ref="D162:R162"/>
    <mergeCell ref="D163:R163"/>
    <mergeCell ref="D165:R165"/>
    <mergeCell ref="B166:B167"/>
    <mergeCell ref="C166:C167"/>
    <mergeCell ref="D166:D167"/>
    <mergeCell ref="E166:E167"/>
    <mergeCell ref="F166:F167"/>
    <mergeCell ref="G166:G167"/>
    <mergeCell ref="H166:H167"/>
    <mergeCell ref="N158:N159"/>
    <mergeCell ref="O158:O159"/>
    <mergeCell ref="P158:P159"/>
    <mergeCell ref="Q158:Q159"/>
    <mergeCell ref="R158:R159"/>
    <mergeCell ref="AE158:AE159"/>
    <mergeCell ref="H158:H159"/>
    <mergeCell ref="I158:I159"/>
    <mergeCell ref="J158:J159"/>
    <mergeCell ref="K158:K159"/>
    <mergeCell ref="L158:L159"/>
    <mergeCell ref="M158:M159"/>
    <mergeCell ref="B158:B159"/>
    <mergeCell ref="C158:C159"/>
    <mergeCell ref="D158:D159"/>
    <mergeCell ref="E158:E159"/>
    <mergeCell ref="F158:F159"/>
    <mergeCell ref="G158:G159"/>
    <mergeCell ref="Q150:Q151"/>
    <mergeCell ref="R150:R151"/>
    <mergeCell ref="AE150:AE151"/>
    <mergeCell ref="D154:R154"/>
    <mergeCell ref="D155:R155"/>
    <mergeCell ref="D157:R157"/>
    <mergeCell ref="K150:K151"/>
    <mergeCell ref="L150:L151"/>
    <mergeCell ref="M150:M151"/>
    <mergeCell ref="N150:N151"/>
    <mergeCell ref="O150:O151"/>
    <mergeCell ref="P150:P151"/>
    <mergeCell ref="D149:R149"/>
    <mergeCell ref="B150:B151"/>
    <mergeCell ref="C150:C151"/>
    <mergeCell ref="D150:D151"/>
    <mergeCell ref="E150:E151"/>
    <mergeCell ref="F150:F151"/>
    <mergeCell ref="G150:G151"/>
    <mergeCell ref="H150:H151"/>
    <mergeCell ref="I150:I151"/>
    <mergeCell ref="J150:J151"/>
    <mergeCell ref="P142:P143"/>
    <mergeCell ref="Q142:Q143"/>
    <mergeCell ref="R142:R143"/>
    <mergeCell ref="AE142:AE143"/>
    <mergeCell ref="D146:R146"/>
    <mergeCell ref="D147:R147"/>
    <mergeCell ref="J142:J143"/>
    <mergeCell ref="K142:K143"/>
    <mergeCell ref="L142:L143"/>
    <mergeCell ref="M142:M143"/>
    <mergeCell ref="N142:N143"/>
    <mergeCell ref="O142:O143"/>
    <mergeCell ref="D139:R139"/>
    <mergeCell ref="D141:R141"/>
    <mergeCell ref="B142:B143"/>
    <mergeCell ref="C142:C143"/>
    <mergeCell ref="D142:D143"/>
    <mergeCell ref="E142:E143"/>
    <mergeCell ref="F142:F143"/>
    <mergeCell ref="G142:G143"/>
    <mergeCell ref="H142:H143"/>
    <mergeCell ref="I142:I143"/>
    <mergeCell ref="O134:O135"/>
    <mergeCell ref="P134:P135"/>
    <mergeCell ref="Q134:Q135"/>
    <mergeCell ref="R134:R135"/>
    <mergeCell ref="AE134:AE135"/>
    <mergeCell ref="D138:R138"/>
    <mergeCell ref="I134:I135"/>
    <mergeCell ref="J134:J135"/>
    <mergeCell ref="K134:K135"/>
    <mergeCell ref="L134:L135"/>
    <mergeCell ref="M134:M135"/>
    <mergeCell ref="N134:N135"/>
    <mergeCell ref="D130:R130"/>
    <mergeCell ref="D131:R131"/>
    <mergeCell ref="D133:R133"/>
    <mergeCell ref="B134:B135"/>
    <mergeCell ref="C134:C135"/>
    <mergeCell ref="D134:D135"/>
    <mergeCell ref="E134:E135"/>
    <mergeCell ref="F134:F135"/>
    <mergeCell ref="G134:G135"/>
    <mergeCell ref="H134:H135"/>
    <mergeCell ref="N126:N127"/>
    <mergeCell ref="O126:O127"/>
    <mergeCell ref="P126:P127"/>
    <mergeCell ref="Q126:Q127"/>
    <mergeCell ref="R126:R127"/>
    <mergeCell ref="AE126:AE127"/>
    <mergeCell ref="H126:H127"/>
    <mergeCell ref="I126:I127"/>
    <mergeCell ref="J126:J127"/>
    <mergeCell ref="K126:K127"/>
    <mergeCell ref="L126:L127"/>
    <mergeCell ref="M126:M127"/>
    <mergeCell ref="B126:B127"/>
    <mergeCell ref="C126:C127"/>
    <mergeCell ref="D126:D127"/>
    <mergeCell ref="E126:E127"/>
    <mergeCell ref="F126:F127"/>
    <mergeCell ref="G126:G127"/>
    <mergeCell ref="Q118:Q119"/>
    <mergeCell ref="R118:R119"/>
    <mergeCell ref="AE118:AE119"/>
    <mergeCell ref="D122:R122"/>
    <mergeCell ref="D123:R123"/>
    <mergeCell ref="D125:R125"/>
    <mergeCell ref="K118:K119"/>
    <mergeCell ref="L118:L119"/>
    <mergeCell ref="M118:M119"/>
    <mergeCell ref="N118:N119"/>
    <mergeCell ref="O118:O119"/>
    <mergeCell ref="P118:P119"/>
    <mergeCell ref="D117:R117"/>
    <mergeCell ref="B118:B119"/>
    <mergeCell ref="C118:C119"/>
    <mergeCell ref="D118:D119"/>
    <mergeCell ref="E118:E119"/>
    <mergeCell ref="F118:F119"/>
    <mergeCell ref="G118:G119"/>
    <mergeCell ref="H118:H119"/>
    <mergeCell ref="I118:I119"/>
    <mergeCell ref="J118:J119"/>
    <mergeCell ref="P110:P111"/>
    <mergeCell ref="Q110:Q111"/>
    <mergeCell ref="R110:R111"/>
    <mergeCell ref="AE110:AE111"/>
    <mergeCell ref="D114:R114"/>
    <mergeCell ref="D115:R115"/>
    <mergeCell ref="J110:J111"/>
    <mergeCell ref="K110:K111"/>
    <mergeCell ref="L110:L111"/>
    <mergeCell ref="M110:M111"/>
    <mergeCell ref="N110:N111"/>
    <mergeCell ref="O110:O111"/>
    <mergeCell ref="D107:R107"/>
    <mergeCell ref="D109:R109"/>
    <mergeCell ref="B110:B111"/>
    <mergeCell ref="C110:C111"/>
    <mergeCell ref="D110:D111"/>
    <mergeCell ref="E110:E111"/>
    <mergeCell ref="F110:F111"/>
    <mergeCell ref="G110:G111"/>
    <mergeCell ref="H110:H111"/>
    <mergeCell ref="I110:I111"/>
    <mergeCell ref="O102:O103"/>
    <mergeCell ref="P102:P103"/>
    <mergeCell ref="Q102:Q103"/>
    <mergeCell ref="R102:R103"/>
    <mergeCell ref="AE102:AE103"/>
    <mergeCell ref="D106:R106"/>
    <mergeCell ref="I102:I103"/>
    <mergeCell ref="J102:J103"/>
    <mergeCell ref="K102:K103"/>
    <mergeCell ref="L102:L103"/>
    <mergeCell ref="M102:M103"/>
    <mergeCell ref="N102:N103"/>
    <mergeCell ref="D98:R98"/>
    <mergeCell ref="D99:R99"/>
    <mergeCell ref="D101:R101"/>
    <mergeCell ref="B102:B103"/>
    <mergeCell ref="C102:C103"/>
    <mergeCell ref="D102:D103"/>
    <mergeCell ref="E102:E103"/>
    <mergeCell ref="F102:F103"/>
    <mergeCell ref="G102:G103"/>
    <mergeCell ref="H102:H103"/>
    <mergeCell ref="N94:N95"/>
    <mergeCell ref="O94:O95"/>
    <mergeCell ref="P94:P95"/>
    <mergeCell ref="Q94:Q95"/>
    <mergeCell ref="R94:R95"/>
    <mergeCell ref="AE94:AE95"/>
    <mergeCell ref="H94:H95"/>
    <mergeCell ref="I94:I95"/>
    <mergeCell ref="J94:J95"/>
    <mergeCell ref="K94:K95"/>
    <mergeCell ref="L94:L95"/>
    <mergeCell ref="M94:M95"/>
    <mergeCell ref="B94:B95"/>
    <mergeCell ref="C94:C95"/>
    <mergeCell ref="D94:D95"/>
    <mergeCell ref="E94:E95"/>
    <mergeCell ref="F94:F95"/>
    <mergeCell ref="G94:G95"/>
    <mergeCell ref="Q86:Q87"/>
    <mergeCell ref="R86:R87"/>
    <mergeCell ref="AE86:AE87"/>
    <mergeCell ref="D90:R90"/>
    <mergeCell ref="D91:R91"/>
    <mergeCell ref="D93:R93"/>
    <mergeCell ref="K86:K87"/>
    <mergeCell ref="L86:L87"/>
    <mergeCell ref="M86:M87"/>
    <mergeCell ref="N86:N87"/>
    <mergeCell ref="O86:O87"/>
    <mergeCell ref="P86:P87"/>
    <mergeCell ref="D85:R85"/>
    <mergeCell ref="B86:B87"/>
    <mergeCell ref="C86:C87"/>
    <mergeCell ref="D86:D87"/>
    <mergeCell ref="E86:E87"/>
    <mergeCell ref="F86:F87"/>
    <mergeCell ref="G86:G87"/>
    <mergeCell ref="H86:H87"/>
    <mergeCell ref="I86:I87"/>
    <mergeCell ref="J86:J87"/>
    <mergeCell ref="P78:P79"/>
    <mergeCell ref="Q78:Q79"/>
    <mergeCell ref="R78:R79"/>
    <mergeCell ref="AE78:AE79"/>
    <mergeCell ref="D82:R82"/>
    <mergeCell ref="D83:R83"/>
    <mergeCell ref="J78:J79"/>
    <mergeCell ref="K78:K79"/>
    <mergeCell ref="L78:L79"/>
    <mergeCell ref="M78:M79"/>
    <mergeCell ref="N78:N79"/>
    <mergeCell ref="O78:O79"/>
    <mergeCell ref="D75:R75"/>
    <mergeCell ref="D77:R77"/>
    <mergeCell ref="B78:B79"/>
    <mergeCell ref="C78:C79"/>
    <mergeCell ref="D78:D79"/>
    <mergeCell ref="E78:E79"/>
    <mergeCell ref="F78:F79"/>
    <mergeCell ref="G78:G79"/>
    <mergeCell ref="H78:H79"/>
    <mergeCell ref="I78:I79"/>
    <mergeCell ref="O70:O71"/>
    <mergeCell ref="P70:P71"/>
    <mergeCell ref="Q70:Q71"/>
    <mergeCell ref="R70:R71"/>
    <mergeCell ref="AE70:AE71"/>
    <mergeCell ref="D74:R74"/>
    <mergeCell ref="I70:I71"/>
    <mergeCell ref="J70:J71"/>
    <mergeCell ref="K70:K71"/>
    <mergeCell ref="L70:L71"/>
    <mergeCell ref="M70:M71"/>
    <mergeCell ref="N70:N71"/>
    <mergeCell ref="D66:R66"/>
    <mergeCell ref="D67:R67"/>
    <mergeCell ref="D69:R69"/>
    <mergeCell ref="B70:B71"/>
    <mergeCell ref="C70:C71"/>
    <mergeCell ref="D70:D71"/>
    <mergeCell ref="E70:E71"/>
    <mergeCell ref="F70:F71"/>
    <mergeCell ref="G70:G71"/>
    <mergeCell ref="H70:H71"/>
    <mergeCell ref="N62:N63"/>
    <mergeCell ref="O62:O63"/>
    <mergeCell ref="P62:P63"/>
    <mergeCell ref="Q62:Q63"/>
    <mergeCell ref="R62:R63"/>
    <mergeCell ref="AE62:AE63"/>
    <mergeCell ref="H62:H63"/>
    <mergeCell ref="I62:I63"/>
    <mergeCell ref="J62:J63"/>
    <mergeCell ref="K62:K63"/>
    <mergeCell ref="L62:L63"/>
    <mergeCell ref="M62:M63"/>
    <mergeCell ref="B62:B63"/>
    <mergeCell ref="C62:C63"/>
    <mergeCell ref="D62:D63"/>
    <mergeCell ref="E62:E63"/>
    <mergeCell ref="F62:F63"/>
    <mergeCell ref="G62:G63"/>
    <mergeCell ref="Q54:Q55"/>
    <mergeCell ref="R54:R55"/>
    <mergeCell ref="AE54:AE55"/>
    <mergeCell ref="D58:R58"/>
    <mergeCell ref="D59:R59"/>
    <mergeCell ref="D61:R61"/>
    <mergeCell ref="K54:K55"/>
    <mergeCell ref="L54:L55"/>
    <mergeCell ref="M54:M55"/>
    <mergeCell ref="N54:N55"/>
    <mergeCell ref="O54:O55"/>
    <mergeCell ref="P54:P55"/>
    <mergeCell ref="D53:R53"/>
    <mergeCell ref="B54:B55"/>
    <mergeCell ref="C54:C55"/>
    <mergeCell ref="D54:D55"/>
    <mergeCell ref="E54:E55"/>
    <mergeCell ref="F54:F55"/>
    <mergeCell ref="G54:G55"/>
    <mergeCell ref="H54:H55"/>
    <mergeCell ref="I54:I55"/>
    <mergeCell ref="J54:J55"/>
    <mergeCell ref="P46:P47"/>
    <mergeCell ref="Q46:Q47"/>
    <mergeCell ref="R46:R47"/>
    <mergeCell ref="AE46:AE47"/>
    <mergeCell ref="D50:R50"/>
    <mergeCell ref="D51:R51"/>
    <mergeCell ref="J46:J47"/>
    <mergeCell ref="K46:K47"/>
    <mergeCell ref="L46:L47"/>
    <mergeCell ref="M46:M47"/>
    <mergeCell ref="N46:N47"/>
    <mergeCell ref="O46:O47"/>
    <mergeCell ref="D43:R43"/>
    <mergeCell ref="D45:R45"/>
    <mergeCell ref="B46:B47"/>
    <mergeCell ref="C46:C47"/>
    <mergeCell ref="D46:D47"/>
    <mergeCell ref="E46:E47"/>
    <mergeCell ref="F46:F47"/>
    <mergeCell ref="G46:G47"/>
    <mergeCell ref="H46:H47"/>
    <mergeCell ref="I46:I47"/>
    <mergeCell ref="O38:O39"/>
    <mergeCell ref="P38:P39"/>
    <mergeCell ref="Q38:Q39"/>
    <mergeCell ref="R38:R39"/>
    <mergeCell ref="AE38:AE39"/>
    <mergeCell ref="D42:R42"/>
    <mergeCell ref="I38:I39"/>
    <mergeCell ref="J38:J39"/>
    <mergeCell ref="K38:K39"/>
    <mergeCell ref="L38:L39"/>
    <mergeCell ref="M38:M39"/>
    <mergeCell ref="N38:N39"/>
    <mergeCell ref="D34:R34"/>
    <mergeCell ref="D35:R35"/>
    <mergeCell ref="D37:R37"/>
    <mergeCell ref="B38:B39"/>
    <mergeCell ref="C38:C39"/>
    <mergeCell ref="D38:D39"/>
    <mergeCell ref="E38:E39"/>
    <mergeCell ref="F38:F39"/>
    <mergeCell ref="G38:G39"/>
    <mergeCell ref="H38:H39"/>
    <mergeCell ref="N30:N31"/>
    <mergeCell ref="O30:O31"/>
    <mergeCell ref="P30:P31"/>
    <mergeCell ref="Q30:Q31"/>
    <mergeCell ref="R30:R31"/>
    <mergeCell ref="AE30:AE31"/>
    <mergeCell ref="H30:H31"/>
    <mergeCell ref="I30:I31"/>
    <mergeCell ref="J30:J31"/>
    <mergeCell ref="K30:K31"/>
    <mergeCell ref="L30:L31"/>
    <mergeCell ref="M30:M31"/>
    <mergeCell ref="B30:B31"/>
    <mergeCell ref="C30:C31"/>
    <mergeCell ref="D30:D31"/>
    <mergeCell ref="E30:E31"/>
    <mergeCell ref="F30:F31"/>
    <mergeCell ref="G30:G31"/>
    <mergeCell ref="Q22:Q23"/>
    <mergeCell ref="R22:R23"/>
    <mergeCell ref="AE22:AE23"/>
    <mergeCell ref="D26:R26"/>
    <mergeCell ref="D27:R27"/>
    <mergeCell ref="D29:R29"/>
    <mergeCell ref="K22:K23"/>
    <mergeCell ref="L22:L23"/>
    <mergeCell ref="M22:M23"/>
    <mergeCell ref="N22:N23"/>
    <mergeCell ref="O22:O23"/>
    <mergeCell ref="P22:P23"/>
    <mergeCell ref="D21:R21"/>
    <mergeCell ref="B22:B23"/>
    <mergeCell ref="C22:C23"/>
    <mergeCell ref="D22:D23"/>
    <mergeCell ref="E22:E23"/>
    <mergeCell ref="F22:F23"/>
    <mergeCell ref="G22:G23"/>
    <mergeCell ref="H22:H23"/>
    <mergeCell ref="I22:I23"/>
    <mergeCell ref="J22:J23"/>
    <mergeCell ref="N14:N15"/>
    <mergeCell ref="O14:O15"/>
    <mergeCell ref="P14:P15"/>
    <mergeCell ref="Q14:Q15"/>
    <mergeCell ref="R14:R15"/>
    <mergeCell ref="AE14:AE15"/>
    <mergeCell ref="H14:H15"/>
    <mergeCell ref="I14:I15"/>
    <mergeCell ref="J14:J15"/>
    <mergeCell ref="K14:K15"/>
    <mergeCell ref="L14:L15"/>
    <mergeCell ref="M14:M15"/>
    <mergeCell ref="J5:K5"/>
    <mergeCell ref="S5:AE5"/>
    <mergeCell ref="J6:K6"/>
    <mergeCell ref="Q7:R7"/>
    <mergeCell ref="B14:B15"/>
    <mergeCell ref="C14:C15"/>
    <mergeCell ref="D14:D15"/>
    <mergeCell ref="E14:E15"/>
    <mergeCell ref="F14:F15"/>
    <mergeCell ref="G14:G15"/>
  </mergeCells>
  <conditionalFormatting sqref="S10:AD10">
    <cfRule type="expression" dxfId="1" priority="1">
      <formula>$R$10=""</formula>
    </cfRule>
    <cfRule type="expression" dxfId="0" priority="2">
      <formula>$R$10=""</formula>
    </cfRule>
  </conditionalFormatting>
  <dataValidations count="3">
    <dataValidation type="list" allowBlank="1" showInputMessage="1" showErrorMessage="1" sqref="C238:C239 C246:C247 C254:C255" xr:uid="{596F8EA3-CDE7-4897-A2B1-63F29B33A961}">
      <formula1>$CH$3:$CH$12</formula1>
    </dataValidation>
    <dataValidation allowBlank="1" showInputMessage="1" showErrorMessage="1" prompt="Enter as a decimal NOT a percentage" sqref="E5:E6 F6" xr:uid="{6DEF6030-D68C-48E1-812F-E8109AE1F2E8}"/>
    <dataValidation allowBlank="1" showInputMessage="1" showErrorMessage="1" prompt="Enter the initials for the State, i.e. CA for California, WA for Washington, NV for Nevada ..." sqref="E9 F9:F10" xr:uid="{1E687A6F-7A5C-43D1-92B3-5335A8C538BC}"/>
  </dataValidations>
  <pageMargins left="0.52" right="0.18" top="0.28999999999999998" bottom="0.23" header="0.17" footer="0.5"/>
  <pageSetup paperSize="5" scale="95"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Payroll</vt:lpstr>
      <vt:lpstr>Payroll!Print_Area</vt:lpstr>
      <vt:lpstr>Payroll!Print_Titles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Forman</dc:creator>
  <cp:lastModifiedBy>Ethan Forman</cp:lastModifiedBy>
  <dcterms:created xsi:type="dcterms:W3CDTF">2026-07-22T19:10:09Z</dcterms:created>
  <dcterms:modified xsi:type="dcterms:W3CDTF">2026-07-22T19:10:37Z</dcterms:modified>
</cp:coreProperties>
</file>