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55fe235be4c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0debd5b2504612a1f1503617bf3248.psmdcp" Id="R5fb46af359db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e.Export" sheetId="2" r:id="rId2"/>
  </x:sheets>
  <x:definedNames>
    <x:definedName name="COL_2025MTH07_ACT" localSheetId="0">Ae.Export!$B$4:$B$179</x:definedName>
    <x:definedName name="COL_2025MTH08_ACT" localSheetId="0">Ae.Export!$C$4:$C$179</x:definedName>
    <x:definedName name="COL_2025MTH09_ACT" localSheetId="0">Ae.Export!$D$4:$D$179</x:definedName>
    <x:definedName name="COL_2025MTH10_ACT" localSheetId="0">Ae.Export!$E$4:$E$179</x:definedName>
    <x:definedName name="COL_2025MTH11_ACT" localSheetId="0">Ae.Export!$F$4:$F$179</x:definedName>
    <x:definedName name="COL_2025MTH12_ACT" localSheetId="0">Ae.Export!$G$4:$G$179</x:definedName>
    <x:definedName name="COL_2026MTH01_ACT" localSheetId="0">Ae.Export!$H$4:$H$179</x:definedName>
    <x:definedName name="COL_2026MTH02_ACT" localSheetId="0">Ae.Export!$I$4:$I$179</x:definedName>
    <x:definedName name="COL_2026MTH03_ACT" localSheetId="0">Ae.Export!$J$4:$J$179</x:definedName>
    <x:definedName name="COL_2026MTH04_ACT" localSheetId="0">Ae.Export!$K$4:$K$179</x:definedName>
    <x:definedName name="COL_2026MTH05_ACT" localSheetId="0">Ae.Export!$L$4:$L$179</x:definedName>
    <x:definedName name="COL_2026MTH06_ACT" localSheetId="0">Ae.Export!$M$4:$M$179</x:definedName>
  </x:definedNames>
  <x:calcPr calcId="125725"/>
</x:workbook>
</file>

<file path=xl/calcChain.xml><?xml version="1.0" encoding="utf-8"?>
<x:calcChain xmlns:x="http://schemas.openxmlformats.org/spreadsheetml/2006/main">
  <x:c r="N9" i="2"/>
  <x:c r="N10" i="2"/>
  <x:c r="N11" i="2"/>
  <x:c r="N13" i="2"/>
  <x:c r="N14" i="2"/>
  <x:c r="N16" i="2"/>
  <x:c r="N17" i="2"/>
  <x:c r="N19" i="2"/>
  <x:c r="N20" i="2"/>
  <x:c r="N21" i="2"/>
  <x:c r="N22" i="2"/>
  <x:c r="N24" i="2"/>
  <x:c r="N25" i="2"/>
  <x:c r="N26" i="2"/>
  <x:c r="N27" i="2"/>
  <x:c r="N30" i="2"/>
  <x:c r="N31" i="2"/>
  <x:c r="N32" i="2"/>
  <x:c r="N34" i="2"/>
  <x:c r="N35" i="2"/>
  <x:c r="N36" i="2"/>
  <x:c r="N37" i="2"/>
  <x:c r="N38" i="2"/>
  <x:c r="N39" i="2"/>
  <x:c r="N40" i="2"/>
  <x:c r="N41" i="2"/>
  <x:c r="N42" i="2"/>
  <x:c r="N47" i="2"/>
  <x:c r="N48" i="2"/>
  <x:c r="N49" i="2"/>
  <x:c r="N50" i="2"/>
  <x:c r="N51" i="2"/>
  <x:c r="N53" i="2"/>
  <x:c r="N54" i="2"/>
  <x:c r="N55" i="2"/>
  <x:c r="N56" i="2"/>
  <x:c r="N57" i="2"/>
  <x:c r="N58" i="2"/>
  <x:c r="N60" i="2"/>
  <x:c r="N61" i="2"/>
  <x:c r="N62" i="2"/>
  <x:c r="N63" i="2"/>
  <x:c r="N64" i="2"/>
  <x:c r="N65" i="2"/>
  <x:c r="N66" i="2"/>
  <x:c r="N67" i="2"/>
  <x:c r="N68" i="2"/>
  <x:c r="N70" i="2"/>
  <x:c r="N71" i="2"/>
  <x:c r="N72" i="2"/>
  <x:c r="N73" i="2"/>
  <x:c r="N74" i="2"/>
  <x:c r="N75" i="2"/>
  <x:c r="N76" i="2"/>
  <x:c r="N77" i="2"/>
  <x:c r="N78" i="2"/>
  <x:c r="N80" i="2"/>
  <x:c r="N81" i="2"/>
  <x:c r="N82" i="2"/>
  <x:c r="N83" i="2"/>
  <x:c r="N84" i="2"/>
  <x:c r="N85" i="2"/>
  <x:c r="N86" i="2"/>
  <x:c r="N87" i="2"/>
  <x:c r="N88" i="2"/>
  <x:c r="N89" i="2"/>
  <x:c r="N90" i="2"/>
  <x:c r="N91" i="2"/>
  <x:c r="N92" i="2"/>
  <x:c r="N94" i="2"/>
  <x:c r="N95" i="2"/>
  <x:c r="N96" i="2"/>
  <x:c r="N97" i="2"/>
  <x:c r="N98" i="2"/>
  <x:c r="N100" i="2"/>
  <x:c r="N101" i="2"/>
  <x:c r="N102" i="2"/>
  <x:c r="N103" i="2"/>
  <x:c r="N105" i="2"/>
  <x:c r="N106" i="2"/>
  <x:c r="N107" i="2"/>
  <x:c r="N108" i="2"/>
  <x:c r="N109" i="2"/>
  <x:c r="N110" i="2"/>
  <x:c r="N111" i="2"/>
  <x:c r="N112" i="2"/>
  <x:c r="N113" i="2"/>
  <x:c r="N114" i="2"/>
  <x:c r="N115" i="2"/>
  <x:c r="N116" i="2"/>
  <x:c r="N117" i="2"/>
  <x:c r="N120" i="2"/>
  <x:c r="N121" i="2"/>
  <x:c r="N123" i="2"/>
  <x:c r="N124" i="2"/>
  <x:c r="N126" i="2"/>
  <x:c r="N127" i="2"/>
  <x:c r="N128" i="2"/>
  <x:c r="N129" i="2"/>
  <x:c r="N130" i="2"/>
  <x:c r="N132" i="2"/>
  <x:c r="N133" i="2"/>
  <x:c r="N135" i="2"/>
  <x:c r="N136" i="2"/>
  <x:c r="N138" i="2"/>
  <x:c r="N139" i="2"/>
  <x:c r="N140" i="2"/>
  <x:c r="N141" i="2"/>
  <x:c r="N142" i="2"/>
  <x:c r="N143" i="2"/>
  <x:c r="N144" i="2"/>
  <x:c r="N146" i="2"/>
  <x:c r="N147" i="2"/>
  <x:c r="N150" i="2"/>
  <x:c r="N151" i="2"/>
  <x:c r="N152" i="2"/>
  <x:c r="N153" i="2"/>
  <x:c r="N154" i="2"/>
  <x:c r="N155" i="2"/>
  <x:c r="N156" i="2"/>
  <x:c r="N157" i="2"/>
  <x:c r="N158" i="2"/>
  <x:c r="N159" i="2"/>
  <x:c r="N160" i="2"/>
  <x:c r="N161" i="2"/>
  <x:c r="N163" i="2"/>
  <x:c r="N164" i="2"/>
  <x:c r="N165" i="2"/>
  <x:c r="N166" i="2"/>
  <x:c r="N167" i="2"/>
  <x:c r="N168" i="2"/>
  <x:c r="N169" i="2"/>
  <x:c r="N170" i="2"/>
  <x:c r="N171" i="2"/>
  <x:c r="N172" i="2"/>
  <x:c r="N173" i="2"/>
  <x:c r="N174" i="2"/>
  <x:c r="N175" i="2"/>
  <x:c r="N176" i="2"/>
  <x:c r="N177" i="2"/>
  <x:c r="N178" i="2"/>
</x:calcChain>
</file>

<file path=xl/sharedStrings.xml><?xml version="1.0" encoding="utf-8"?>
<x:sst xmlns:x="http://schemas.openxmlformats.org/spreadsheetml/2006/main" count="191" uniqueCount="191">
  <x:si>
    <x:t>Income Statement (USD)</x:t>
  </x:si>
  <x:si>
    <x:t>Property Name = Bluffs at Evergreen</x:t>
  </x:si>
  <x:si>
    <x:t>Name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</x:si>
  <x:si>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</x:si>
  <x:si>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</x:si>
  <x:si>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</x:si>
  <x:si>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</x:si>
  <x:si>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</x:si>
  <x:si>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</x:si>
  <x:si>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01/2026</x:t>
  </x:si>
  <x:si>
    <x:t>02/2026</x:t>
  </x:si>
  <x:si>
    <x:t>03/2026</x:t>
  </x:si>
  <x:si>
    <x:t>04/2026</x:t>
  </x:si>
  <x:si>
    <x:t>05/2026</x:t>
  </x:si>
  <x:si>
    <x:t>06/2026</x:t>
  </x:si>
  <x:si>
    <x:t>Total</x:t>
  </x:si>
  <x:si>
    <x:t>NET INCOME</x:t>
  </x:si>
  <x:si>
    <x:t>NET OPERATING INCOME</x:t>
  </x:si>
  <x:si>
    <x:t>OPERATING INCOME</x:t>
  </x:si>
  <x:si>
    <x:t>REVENUE</x:t>
  </x:si>
  <x:si>
    <x:t>RENTAL REVENUE</x:t>
  </x:si>
  <x:si>
    <x:t>4500-1102 - Market Rent</x:t>
  </x:si>
  <x:si>
    <x:t>4500-1125 - Section 8 Rental Revenue</x:t>
  </x:si>
  <x:si>
    <x:t>Total RENTAL REVENUE</x:t>
  </x:si>
  <x:si>
    <x:t>GAIN/LOSS TO LEASE</x:t>
  </x:si>
  <x:si>
    <x:t>4500-1210 - Gain/Loss to Lease Property</x:t>
  </x:si>
  <x:si>
    <x:t>Total GAIN/LOSS TO LEASE</x:t>
  </x:si>
  <x:si>
    <x:t>VACANCY</x:t>
  </x:si>
  <x:si>
    <x:t>4500-1310 - Vacancies Apartment</x:t>
  </x:si>
  <x:si>
    <x:t>Total VACANCY</x:t>
  </x:si>
  <x:si>
    <x:t>CONCESSIONS</x:t>
  </x:si>
  <x:si>
    <x:t>4500-1412 - Employee Concession</x:t>
  </x:si>
  <x:si>
    <x:t>4500-1440 - Rent Abatement</x:t>
  </x:si>
  <x:si>
    <x:t>4500-1450 - Tenant Related Concessions</x:t>
  </x:si>
  <x:si>
    <x:t>Total CONCESSIONS</x:t>
  </x:si>
  <x:si>
    <x:t>BAD DEBT - PROP</x:t>
  </x:si>
  <x:si>
    <x:t>4500-1510 - Bad Debt Tenant Rent</x:t>
  </x:si>
  <x:si>
    <x:t>4500-1540 - Bad Debt Recovery</x:t>
  </x:si>
  <x:si>
    <x:t>Total BAD DEBT - PROP</x:t>
  </x:si>
  <x:si>
    <x:t>Total REVENUE</x:t>
  </x:si>
  <x:si>
    <x:t>OTHER INCOME - PROP</x:t>
  </x:si>
  <x:si>
    <x:t>MISC. RENTAL INCOME</x:t>
  </x:si>
  <x:si>
    <x:t>4500-1730 - Parking Rental Income</x:t>
  </x:si>
  <x:si>
    <x:t>4500-1740 - Pet Rental Income</x:t>
  </x:si>
  <x:si>
    <x:t>Total MISC. RENTAL INCOME</x:t>
  </x:si>
  <x:si>
    <x:t>MISC. OTHER INCOME</x:t>
  </x:si>
  <x:si>
    <x:t>4500-1860 - Credit Report Fee</x:t>
  </x:si>
  <x:si>
    <x:t>4500-1870 - Damage Fee</x:t>
  </x:si>
  <x:si>
    <x:t>4500-1900 - Laundry Income</x:t>
  </x:si>
  <x:si>
    <x:t>4500-1930 - NSF Fee</x:t>
  </x:si>
  <x:si>
    <x:t>4500-1960 - Resident Charges</x:t>
  </x:si>
  <x:si>
    <x:t>4500-2008 - Miscellaneous Income</x:t>
  </x:si>
  <x:si>
    <x:t>Total MISC. OTHER INCOME</x:t>
  </x:si>
  <x:si>
    <x:t>Total OTHER INCOME - PROP</x:t>
  </x:si>
  <x:si>
    <x:t>Total OPERATING INCOME</x:t>
  </x:si>
  <x:si>
    <x:t>OPERATING EXPENSE</x:t>
  </x:si>
  <x:si>
    <x:t>CONTROLLABLE EXPENSES - PROP</x:t>
  </x:si>
  <x:si>
    <x:t>COMPENSATION</x:t>
  </x:si>
  <x:si>
    <x:t>PAYROLL</x:t>
  </x:si>
  <x:si>
    <x:t>5600-3301 - Office Payroll</x:t>
  </x:si>
  <x:si>
    <x:t>5600-3302 - Maintenance Payroll</x:t>
  </x:si>
  <x:si>
    <x:t>5600-3306 - Payroll Bonus</x:t>
  </x:si>
  <x:si>
    <x:t>5600-3308 - Temp Labor</x:t>
  </x:si>
  <x:si>
    <x:t>Total PAYROLL</x:t>
  </x:si>
  <x:si>
    <x:t>BENEFITS</x:t>
  </x:si>
  <x:si>
    <x:t>5600-3321 - Payroll Taxes</x:t>
  </x:si>
  <x:si>
    <x:t>5600-3322 - Worker's Comp</x:t>
  </x:si>
  <x:si>
    <x:t>5600-3323 - Health Insurance And Benefits</x:t>
  </x:si>
  <x:si>
    <x:t>5600-3324 - Payroll Processing Fee</x:t>
  </x:si>
  <x:si>
    <x:t>Total BENEFITS</x:t>
  </x:si>
  <x:si>
    <x:t>Total COMPENSATION</x:t>
  </x:si>
  <x:si>
    <x:t>UNIT TURN</x:t>
  </x:si>
  <x:si>
    <x:t>5600-3410 - Appliance Unit Turn</x:t>
  </x:si>
  <x:si>
    <x:t>5600-3430 - Blinds And Drapes Unit Turn</x:t>
  </x:si>
  <x:si>
    <x:t>5600-3470 - Flooring Unit Turn</x:t>
  </x:si>
  <x:si>
    <x:t>5600-3480 - Hauling Unit Turn</x:t>
  </x:si>
  <x:si>
    <x:t>5600-3500 - Janitorial Unit Turn</x:t>
  </x:si>
  <x:si>
    <x:t>5600-3510 - Locksmith Unit Turn</x:t>
  </x:si>
  <x:si>
    <x:t>5600-3520 - Painting Unit Turn</x:t>
  </x:si>
  <x:si>
    <x:t>5600-3550 - Other - Unit Turn</x:t>
  </x:si>
  <x:si>
    <x:t>Total UNIT TURN</x:t>
  </x:si>
  <x:si>
    <x:t>R&amp;M</x:t>
  </x:si>
  <x:si>
    <x:t>5600-3960 - Painting Contract</x:t>
  </x:si>
  <x:si>
    <x:t>5600-3970 - Plumbing R&amp;M</x:t>
  </x:si>
  <x:si>
    <x:t>5600-3980 - Pool &amp; Spa R&amp;M</x:t>
  </x:si>
  <x:si>
    <x:t>5600-4180 - Fire &amp; Life Safety</x:t>
  </x:si>
  <x:si>
    <x:t>5600-4915 - Equipment R&amp;M</x:t>
  </x:si>
  <x:si>
    <x:t>5600-4935 - Supplies - R&amp;M</x:t>
  </x:si>
  <x:si>
    <x:t>5600-4940 - Vehicle R&amp;M</x:t>
  </x:si>
  <x:si>
    <x:t>5600-4945 - R&amp;M Other</x:t>
  </x:si>
  <x:si>
    <x:t>Total R&amp;M</x:t>
  </x:si>
  <x:si>
    <x:t>CONTRACT SERVICES</x:t>
  </x:si>
  <x:si>
    <x:t>5600-5330 - Equipment Lease</x:t>
  </x:si>
  <x:si>
    <x:t>5600-5380 - Internet</x:t>
  </x:si>
  <x:si>
    <x:t>5600-5390 - Janitorial Contract Services</x:t>
  </x:si>
  <x:si>
    <x:t>5600-5400 - Landscaping Contract Services</x:t>
  </x:si>
  <x:si>
    <x:t>5600-5430 - Security Contract Services</x:t>
  </x:si>
  <x:si>
    <x:t>5600-5440 - Pest Control Contract Service</x:t>
  </x:si>
  <x:si>
    <x:t>5600-5460 - Pool Contract Services</x:t>
  </x:si>
  <x:si>
    <x:t>5600-5480 - Security System Monitoring Contract</x:t>
  </x:si>
  <x:si>
    <x:t>5600-5490 - Snow Removal Contract</x:t>
  </x:si>
  <x:si>
    <x:t>5600-5620 - Telephone - Office</x:t>
  </x:si>
  <x:si>
    <x:t>5600-5820 - Other - Contract Service (Interior)</x:t>
  </x:si>
  <x:si>
    <x:t>5600-5825 - Garbage</x:t>
  </x:si>
  <x:si>
    <x:t>Total CONTRACT SERVICES</x:t>
  </x:si>
  <x:si>
    <x:t>UTILITIES</x:t>
  </x:si>
  <x:si>
    <x:t>5600-6110 - Electricity</x:t>
  </x:si>
  <x:si>
    <x:t>5600-6120 - Electricity - Vacant Units</x:t>
  </x:si>
  <x:si>
    <x:t>5600-6250 - Water/Sewer</x:t>
  </x:si>
  <x:si>
    <x:t>5600-6260 - Utility Processing Fees</x:t>
  </x:si>
  <x:si>
    <x:t>Total UTILITIES</x:t>
  </x:si>
  <x:si>
    <x:t>MARKETING</x:t>
  </x:si>
  <x:si>
    <x:t>5600-6500 - Signage and Material</x:t>
  </x:si>
  <x:si>
    <x:t>5600-6510 - Tenant Relations</x:t>
  </x:si>
  <x:si>
    <x:t>5600-6530 - Marketing and Advertising</x:t>
  </x:si>
  <x:si>
    <x:t>Total MARKETING</x:t>
  </x:si>
  <x:si>
    <x:t>G&amp;A - PROP</x:t>
  </x:si>
  <x:si>
    <x:t>5600-6910 - Application Processing Fee</x:t>
  </x:si>
  <x:si>
    <x:t>5600-6930 - Bank Charges</x:t>
  </x:si>
  <x:si>
    <x:t>5600-6940 - Computer Hardware and Software</x:t>
  </x:si>
  <x:si>
    <x:t>5600-7550 - Legal Other</x:t>
  </x:si>
  <x:si>
    <x:t>5600-7630 - Postage/Courier</x:t>
  </x:si>
  <x:si>
    <x:t>5600-7640 - Printing / Supplies</x:t>
  </x:si>
  <x:si>
    <x:t>5600-7650 - Property Management Software Fees</x:t>
  </x:si>
  <x:si>
    <x:t>5600-7680 - Training Expense</x:t>
  </x:si>
  <x:si>
    <x:t>5600-7690 - Travel Expenses</x:t>
  </x:si>
  <x:si>
    <x:t>5600-7700 - Uniforms</x:t>
  </x:si>
  <x:si>
    <x:t>5600-7710 - Other G&amp;A</x:t>
  </x:si>
  <x:si>
    <x:t>Total G&amp;A - PROP</x:t>
  </x:si>
  <x:si>
    <x:t>Total CONTROLLABLE EXPENSES - PROP</x:t>
  </x:si>
  <x:si>
    <x:t>NON-CONTROLLABLE EXPENSES</x:t>
  </x:si>
  <x:si>
    <x:t>MANAGEMENT FEE</x:t>
  </x:si>
  <x:si>
    <x:t>5650-1110 - Management Fees</x:t>
  </x:si>
  <x:si>
    <x:t>Total MANAGEMENT FEE</x:t>
  </x:si>
  <x:si>
    <x:t>PROPERTY TAXES</x:t>
  </x:si>
  <x:si>
    <x:t>5650-2110 - Real Estate Taxes</x:t>
  </x:si>
  <x:si>
    <x:t>Total PROPERTY TAXES</x:t>
  </x:si>
  <x:si>
    <x:t>INSURANCE</x:t>
  </x:si>
  <x:si>
    <x:t>5650-3160 - Insurance - General Liability</x:t>
  </x:si>
  <x:si>
    <x:t>Total INSURANCE</x:t>
  </x:si>
  <x:si>
    <x:t>Total NON-CONTROLLABLE EXPENSES</x:t>
  </x:si>
  <x:si>
    <x:t>Total OPERATING EXPENSE</x:t>
  </x:si>
  <x:si>
    <x:t>Total NET OPERATING INCOME</x:t>
  </x:si>
  <x:si>
    <x:t>INTEREST INCOME</x:t>
  </x:si>
  <x:si>
    <x:t>7100-1000 - Interest Income</x:t>
  </x:si>
  <x:si>
    <x:t>Total INTEREST INCOME</x:t>
  </x:si>
  <x:si>
    <x:t>INTEREST EXPENSE - PROP</x:t>
  </x:si>
  <x:si>
    <x:t>7200-1110 - Interest Expense - Loan 1</x:t>
  </x:si>
  <x:si>
    <x:t>Total INTEREST EXPENSE - PROP</x:t>
  </x:si>
  <x:si>
    <x:t>OTHER FINANCIAL EXPENSES</x:t>
  </x:si>
  <x:si>
    <x:t>7200-4320 - Financial Expenses Other</x:t>
  </x:si>
  <x:si>
    <x:t>7200-4335 - Consultant Fee</x:t>
  </x:si>
  <x:si>
    <x:t>7200-4360 - Audit/Tax Fees</x:t>
  </x:si>
  <x:si>
    <x:t>7200-4370 - Regulatory Compliance Fees</x:t>
  </x:si>
  <x:si>
    <x:t>7200-4375 - Asset Management Fees - Affiliate</x:t>
  </x:si>
  <x:si>
    <x:t>7200-4385 - Legal Fees</x:t>
  </x:si>
  <x:si>
    <x:t>Total OTHER FINANCIAL EXPENSES</x:t>
  </x:si>
  <x:si>
    <x:t>NON-OPERATING EXPENSES</x:t>
  </x:si>
  <x:si>
    <x:t>5600-4930 - Relocation</x:t>
  </x:si>
  <x:si>
    <x:t>Total NON-OPERATING EXPENSES</x:t>
  </x:si>
  <x:si>
    <x:t>CAPITAL EXPENSES</x:t>
  </x:si>
  <x:si>
    <x:t>RECURRING CAPITAL</x:t>
  </x:si>
  <x:si>
    <x:t>7300-1010 - Capital Expenses</x:t>
  </x:si>
  <x:si>
    <x:t>7300-1015 - Recurring Capital - Carpet</x:t>
  </x:si>
  <x:si>
    <x:t>7300-1020 - Recurring Capital - Flooring</x:t>
  </x:si>
  <x:si>
    <x:t>7300-1025 - Recurring Capital - Ovens/Ranges/Hoods</x:t>
  </x:si>
  <x:si>
    <x:t>7300-1030 - Recurring Capital - Water Heaters</x:t>
  </x:si>
  <x:si>
    <x:t>7300-1045 - Recurring Capital - Window Coverings</x:t>
  </x:si>
  <x:si>
    <x:t>7300-1055 - Recurring Capital - Dishwashers</x:t>
  </x:si>
  <x:si>
    <x:t>7300-1065 - Recurring Capital - Recurring Other</x:t>
  </x:si>
  <x:si>
    <x:t>7300-1070 - Recurring Capital - Occupied Painting/Drywall</x:t>
  </x:si>
  <x:si>
    <x:t>7300-1080 - Recurring Capital - Counters</x:t>
  </x:si>
  <x:si>
    <x:t>7300-1085 - Recurring Capital - Bathroom Upgrades</x:t>
  </x:si>
  <x:si>
    <x:t>Total RECURRING CAPITAL</x:t>
  </x:si>
  <x:si>
    <x:t>MAJOR IMPROVEMENTS</x:t>
  </x:si>
  <x:si>
    <x:t>7300-1090 - Major Improv - Cabinets</x:t>
  </x:si>
  <x:si>
    <x:t>7300-1105 - Major Improv - Concrete/Sidewalks/Parking Lot</x:t>
  </x:si>
  <x:si>
    <x:t>7300-1110 - Major Improv - Signage</x:t>
  </x:si>
  <x:si>
    <x:t>7300-1115 - Major Improv - Fences/Gates</x:t>
  </x:si>
  <x:si>
    <x:t>7300-1125 - Major Improv - Carpet/Flooring/Tile - Common Area</x:t>
  </x:si>
  <x:si>
    <x:t>7300-1140 - Major Improv - Fire System (Sprinkler/Fire Alarm)</x:t>
  </x:si>
  <x:si>
    <x:t>7300-1155 - Major Improv - Siding/Exterior Skin</x:t>
  </x:si>
  <x:si>
    <x:t>7300-1165 - Major Improv - Windows/Doors</x:t>
  </x:si>
  <x:si>
    <x:t>7300-1190 - Major Improv - Electrical</x:t>
  </x:si>
  <x:si>
    <x:t>7300-1195 - Major Improv - Lighting</x:t>
  </x:si>
  <x:si>
    <x:t>7300-1220 - Major Improv - Pool and Spa</x:t>
  </x:si>
  <x:si>
    <x:t>7300-1250 - Major Improv - Computer</x:t>
  </x:si>
  <x:si>
    <x:t>7300-1260 - Major Improv - Other Improvements</x:t>
  </x:si>
  <x:si>
    <x:t>Total MAJOR IMPROVEMENTS</x:t>
  </x:si>
  <x:si>
    <x:t>Total CAPITAL EXPENSES</x:t>
  </x:si>
  <x:si>
    <x:t>Total NET 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</x:si>
</x:sst>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;[Red](#,##0.00);-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3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4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5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5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6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6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3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78"/>
  <x:sheetViews>
    <x:sheetView showGridLines="0" workbookViewId="0"/>
  </x:sheetViews>
  <x:sheetFormatPr defaultRowHeight="15"/>
  <x:cols>
    <x:col min="1" max="1" width="56.960625" style="0" customWidth="1"/>
    <x:col min="2" max="3" width="11.390625" style="0" customWidth="1"/>
    <x:col min="4" max="4" width="12.660625" style="0" customWidth="1"/>
    <x:col min="5" max="6" width="11.390625" style="0" customWidth="1"/>
    <x:col min="7" max="7" width="12.660625" style="0" customWidth="1"/>
    <x:col min="8" max="11" width="11.390625" style="0" customWidth="1"/>
    <x:col min="12" max="12" width="12.660625" style="0" customWidth="1"/>
    <x:col min="13" max="13" width="11.390625" style="0" customWidth="1"/>
    <x:col min="14" max="14" width="12.970625" style="0" customWidth="1"/>
  </x:cols>
  <x:sheetData>
    <x:row r="1" spans="1:14">
      <x:c r="A1" s="1" t="s">
        <x:v>0</x:v>
      </x:c>
    </x:row>
    <x:row r="2" spans="1:14">
      <x:c r="A2" s="2" t="s">
        <x:v>1</x:v>
      </x:c>
    </x:row>
    <x:row r="3" spans="1:14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">
        <x:v>12</x:v>
      </x:c>
      <x:c r="L3" s="3" t="s">
        <x:v>13</x:v>
      </x:c>
      <x:c r="M3" s="3" t="s">
        <x:v>14</x:v>
      </x:c>
      <x:c r="N3" s="3" t="s">
        <x:v>15</x:v>
      </x:c>
    </x:row>
    <x:row r="4" spans="1:14">
      <x:c r="A4" s="4" t="s">
        <x:v>16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</x:row>
    <x:row r="5" spans="1:14">
      <x:c r="A5" s="6" t="s">
        <x:v>17</x:v>
      </x:c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</x:row>
    <x:row r="6" spans="1:14">
      <x:c r="A6" s="7" t="s">
        <x:v>18</x:v>
      </x:c>
      <x:c r="B6" s="5" t="s"/>
      <x:c r="C6" s="5" t="s"/>
      <x:c r="D6" s="5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</x:row>
    <x:row r="7" spans="1:14">
      <x:c r="A7" s="8" t="s">
        <x:v>19</x:v>
      </x:c>
      <x:c r="B7" s="5" t="s"/>
      <x:c r="C7" s="5" t="s"/>
      <x:c r="D7" s="5" t="s"/>
      <x:c r="E7" s="5" t="s"/>
      <x:c r="F7" s="5" t="s"/>
      <x:c r="G7" s="5" t="s"/>
      <x:c r="H7" s="5" t="s"/>
      <x:c r="I7" s="5" t="s"/>
      <x:c r="J7" s="5" t="s"/>
      <x:c r="K7" s="5" t="s"/>
      <x:c r="L7" s="5" t="s"/>
      <x:c r="M7" s="5" t="s"/>
      <x:c r="N7" s="5" t="s"/>
    </x:row>
    <x:row r="8" spans="1:14">
      <x:c r="A8" s="9" t="s">
        <x:v>20</x:v>
      </x:c>
      <x:c r="B8" s="5" t="s"/>
      <x:c r="C8" s="5" t="s"/>
      <x:c r="D8" s="5" t="s"/>
      <x:c r="E8" s="5" t="s"/>
      <x:c r="F8" s="5" t="s"/>
      <x:c r="G8" s="5" t="s"/>
      <x:c r="H8" s="5" t="s"/>
      <x:c r="I8" s="5" t="s"/>
      <x:c r="J8" s="5" t="s"/>
      <x:c r="K8" s="5" t="s"/>
      <x:c r="L8" s="5" t="s"/>
      <x:c r="M8" s="5" t="s"/>
      <x:c r="N8" s="5" t="s"/>
    </x:row>
    <x:row r="9" spans="1:14">
      <x:c r="A9" s="10" t="s">
        <x:v>21</x:v>
      </x:c>
      <x:c r="B9" s="5" t="n">
        <x:v>354174.54</x:v>
      </x:c>
      <x:c r="C9" s="5" t="n">
        <x:v>359896.84</x:v>
      </x:c>
      <x:c r="D9" s="5" t="n">
        <x:v>369032.84</x:v>
      </x:c>
      <x:c r="E9" s="5" t="n">
        <x:v>369032.84</x:v>
      </x:c>
      <x:c r="F9" s="5" t="n">
        <x:v>368931.84</x:v>
      </x:c>
      <x:c r="G9" s="5" t="n">
        <x:v>371062.84</x:v>
      </x:c>
      <x:c r="H9" s="5" t="n">
        <x:v>394391</x:v>
      </x:c>
      <x:c r="I9" s="5" t="n">
        <x:v>394391</x:v>
      </x:c>
      <x:c r="J9" s="5" t="n">
        <x:v>394391</x:v>
      </x:c>
      <x:c r="K9" s="5" t="n">
        <x:v>394391</x:v>
      </x:c>
      <x:c r="L9" s="5" t="n">
        <x:v>352039</x:v>
      </x:c>
      <x:c r="M9" s="5" t="n">
        <x:v>352039</x:v>
      </x:c>
      <x:c r="N9" s="5">
        <x:f>+SUM(B9:M9)</x:f>
      </x:c>
    </x:row>
    <x:row r="10" spans="1:14">
      <x:c r="A10" s="10" t="s">
        <x:v>22</x:v>
      </x:c>
      <x:c r="B10" s="5" t="n">
        <x:v>42031.46</x:v>
      </x:c>
      <x:c r="C10" s="5" t="n">
        <x:v>26743.16</x:v>
      </x:c>
      <x:c r="D10" s="5" t="n">
        <x:v>23671.16</x:v>
      </x:c>
      <x:c r="E10" s="5" t="n">
        <x:v>23671.16</x:v>
      </x:c>
      <x:c r="F10" s="5" t="n">
        <x:v>23772.16</x:v>
      </x:c>
      <x:c r="G10" s="5" t="n">
        <x:v>23328.16</x:v>
      </x:c>
      <x:c r="H10" s="5" t="n">
        <x:v>0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>
        <x:f>+SUM(B10:M10)</x:f>
      </x:c>
    </x:row>
    <x:row r="11" spans="1:14">
      <x:c r="A11" s="11" t="s">
        <x:v>23</x:v>
      </x:c>
      <x:c r="B11" s="5" t="n">
        <x:v>396206</x:v>
      </x:c>
      <x:c r="C11" s="5" t="n">
        <x:v>386640</x:v>
      </x:c>
      <x:c r="D11" s="5" t="n">
        <x:v>392704</x:v>
      </x:c>
      <x:c r="E11" s="5" t="n">
        <x:v>392704</x:v>
      </x:c>
      <x:c r="F11" s="5" t="n">
        <x:v>392704</x:v>
      </x:c>
      <x:c r="G11" s="5" t="n">
        <x:v>394391</x:v>
      </x:c>
      <x:c r="H11" s="5" t="n">
        <x:v>394391</x:v>
      </x:c>
      <x:c r="I11" s="5" t="n">
        <x:v>394391</x:v>
      </x:c>
      <x:c r="J11" s="5" t="n">
        <x:v>394391</x:v>
      </x:c>
      <x:c r="K11" s="5" t="n">
        <x:v>394391</x:v>
      </x:c>
      <x:c r="L11" s="5" t="n">
        <x:v>352039</x:v>
      </x:c>
      <x:c r="M11" s="5" t="n">
        <x:v>352039</x:v>
      </x:c>
      <x:c r="N11" s="5">
        <x:f>+SUM(B11:M11)</x:f>
      </x:c>
    </x:row>
    <x:row r="12" spans="1:14">
      <x:c r="A12" s="9" t="s">
        <x:v>24</x:v>
      </x:c>
      <x:c r="B12" s="5" t="s"/>
      <x:c r="C12" s="5" t="s"/>
      <x:c r="D12" s="5" t="s"/>
      <x:c r="E12" s="5" t="s"/>
      <x:c r="F12" s="5" t="s"/>
      <x:c r="G12" s="5" t="s"/>
      <x:c r="H12" s="5" t="s"/>
      <x:c r="I12" s="5" t="s"/>
      <x:c r="J12" s="5" t="s"/>
      <x:c r="K12" s="5" t="s"/>
      <x:c r="L12" s="5" t="s"/>
      <x:c r="M12" s="5" t="s"/>
      <x:c r="N12" s="5" t="s"/>
    </x:row>
    <x:row r="13" spans="1:14">
      <x:c r="A13" s="10" t="s">
        <x:v>25</x:v>
      </x:c>
      <x:c r="B13" s="5" t="n">
        <x:v>-74648</x:v>
      </x:c>
      <x:c r="C13" s="5" t="n">
        <x:v>-60395</x:v>
      </x:c>
      <x:c r="D13" s="5" t="n">
        <x:v>-57470</x:v>
      </x:c>
      <x:c r="E13" s="5" t="n">
        <x:v>-57718</x:v>
      </x:c>
      <x:c r="F13" s="5" t="n">
        <x:v>-55712</x:v>
      </x:c>
      <x:c r="G13" s="5" t="n">
        <x:v>-54195</x:v>
      </x:c>
      <x:c r="H13" s="5" t="n">
        <x:v>-49952.34</x:v>
      </x:c>
      <x:c r="I13" s="5" t="n">
        <x:v>-47133.34</x:v>
      </x:c>
      <x:c r="J13" s="5" t="n">
        <x:v>-46361</x:v>
      </x:c>
      <x:c r="K13" s="5" t="n">
        <x:v>-48367</x:v>
      </x:c>
      <x:c r="L13" s="5" t="n">
        <x:v>-7567</x:v>
      </x:c>
      <x:c r="M13" s="5" t="n">
        <x:v>-8144</x:v>
      </x:c>
      <x:c r="N13" s="5">
        <x:f>+SUM(B13:M13)</x:f>
      </x:c>
    </x:row>
    <x:row r="14" spans="1:14">
      <x:c r="A14" s="11" t="s">
        <x:v>26</x:v>
      </x:c>
      <x:c r="B14" s="5" t="n">
        <x:v>-74648</x:v>
      </x:c>
      <x:c r="C14" s="5" t="n">
        <x:v>-60395</x:v>
      </x:c>
      <x:c r="D14" s="5" t="n">
        <x:v>-57470</x:v>
      </x:c>
      <x:c r="E14" s="5" t="n">
        <x:v>-57718</x:v>
      </x:c>
      <x:c r="F14" s="5" t="n">
        <x:v>-55712</x:v>
      </x:c>
      <x:c r="G14" s="5" t="n">
        <x:v>-54195</x:v>
      </x:c>
      <x:c r="H14" s="5" t="n">
        <x:v>-49952.34</x:v>
      </x:c>
      <x:c r="I14" s="5" t="n">
        <x:v>-47133.34</x:v>
      </x:c>
      <x:c r="J14" s="5" t="n">
        <x:v>-46361</x:v>
      </x:c>
      <x:c r="K14" s="5" t="n">
        <x:v>-48367</x:v>
      </x:c>
      <x:c r="L14" s="5" t="n">
        <x:v>-7567</x:v>
      </x:c>
      <x:c r="M14" s="5" t="n">
        <x:v>-8144</x:v>
      </x:c>
      <x:c r="N14" s="5">
        <x:f>+SUM(B14:M14)</x:f>
      </x:c>
    </x:row>
    <x:row r="15" spans="1:14">
      <x:c r="A15" s="9" t="s">
        <x:v>27</x:v>
      </x:c>
      <x:c r="B15" s="5" t="s"/>
      <x:c r="C15" s="5" t="s"/>
      <x:c r="D15" s="5" t="s"/>
      <x:c r="E15" s="5" t="s"/>
      <x:c r="F15" s="5" t="s"/>
      <x:c r="G15" s="5" t="s"/>
      <x:c r="H15" s="5" t="s"/>
      <x:c r="I15" s="5" t="s"/>
      <x:c r="J15" s="5" t="s"/>
      <x:c r="K15" s="5" t="s"/>
      <x:c r="L15" s="5" t="s"/>
      <x:c r="M15" s="5" t="s"/>
      <x:c r="N15" s="5" t="s"/>
    </x:row>
    <x:row r="16" spans="1:14">
      <x:c r="A16" s="10" t="s">
        <x:v>28</x:v>
      </x:c>
      <x:c r="B16" s="5" t="n">
        <x:v>-15684</x:v>
      </x:c>
      <x:c r="C16" s="5" t="n">
        <x:v>-9973</x:v>
      </x:c>
      <x:c r="D16" s="5" t="n">
        <x:v>-21675</x:v>
      </x:c>
      <x:c r="E16" s="5" t="n">
        <x:v>-24193</x:v>
      </x:c>
      <x:c r="F16" s="5" t="n">
        <x:v>-29477</x:v>
      </x:c>
      <x:c r="G16" s="5" t="n">
        <x:v>-37582</x:v>
      </x:c>
      <x:c r="H16" s="5" t="n">
        <x:v>-43281</x:v>
      </x:c>
      <x:c r="I16" s="5" t="n">
        <x:v>-41814</x:v>
      </x:c>
      <x:c r="J16" s="5" t="n">
        <x:v>-43324</x:v>
      </x:c>
      <x:c r="K16" s="5" t="n">
        <x:v>-33558.14</x:v>
      </x:c>
      <x:c r="L16" s="5" t="n">
        <x:v>-16025</x:v>
      </x:c>
      <x:c r="M16" s="5" t="n">
        <x:v>-7917</x:v>
      </x:c>
      <x:c r="N16" s="5">
        <x:f>+SUM(B16:M16)</x:f>
      </x:c>
    </x:row>
    <x:row r="17" spans="1:14">
      <x:c r="A17" s="11" t="s">
        <x:v>29</x:v>
      </x:c>
      <x:c r="B17" s="5" t="n">
        <x:v>-15684</x:v>
      </x:c>
      <x:c r="C17" s="5" t="n">
        <x:v>-9973</x:v>
      </x:c>
      <x:c r="D17" s="5" t="n">
        <x:v>-21675</x:v>
      </x:c>
      <x:c r="E17" s="5" t="n">
        <x:v>-24193</x:v>
      </x:c>
      <x:c r="F17" s="5" t="n">
        <x:v>-29477</x:v>
      </x:c>
      <x:c r="G17" s="5" t="n">
        <x:v>-37582</x:v>
      </x:c>
      <x:c r="H17" s="5" t="n">
        <x:v>-43281</x:v>
      </x:c>
      <x:c r="I17" s="5" t="n">
        <x:v>-41814</x:v>
      </x:c>
      <x:c r="J17" s="5" t="n">
        <x:v>-43324</x:v>
      </x:c>
      <x:c r="K17" s="5" t="n">
        <x:v>-33558.14</x:v>
      </x:c>
      <x:c r="L17" s="5" t="n">
        <x:v>-16025</x:v>
      </x:c>
      <x:c r="M17" s="5" t="n">
        <x:v>-7917</x:v>
      </x:c>
      <x:c r="N17" s="5">
        <x:f>+SUM(B17:M17)</x:f>
      </x:c>
    </x:row>
    <x:row r="18" spans="1:14">
      <x:c r="A18" s="9" t="s">
        <x:v>30</x:v>
      </x:c>
      <x:c r="B18" s="5" t="s"/>
      <x:c r="C18" s="5" t="s"/>
      <x:c r="D18" s="5" t="s"/>
      <x:c r="E18" s="5" t="s"/>
      <x:c r="F18" s="5" t="s"/>
      <x:c r="G18" s="5" t="s"/>
      <x:c r="H18" s="5" t="s"/>
      <x:c r="I18" s="5" t="s"/>
      <x:c r="J18" s="5" t="s"/>
      <x:c r="K18" s="5" t="s"/>
      <x:c r="L18" s="5" t="s"/>
      <x:c r="M18" s="5" t="s"/>
      <x:c r="N18" s="5" t="s"/>
    </x:row>
    <x:row r="19" spans="1:14">
      <x:c r="A19" s="10" t="s">
        <x:v>31</x:v>
      </x:c>
      <x:c r="B19" s="5" t="n">
        <x:v>0</x:v>
      </x:c>
      <x:c r="C19" s="5" t="n">
        <x:v>0</x:v>
      </x:c>
      <x:c r="D19" s="5" t="n">
        <x:v>0</x:v>
      </x:c>
      <x:c r="E19" s="5" t="n">
        <x:v>0</x:v>
      </x:c>
      <x:c r="F19" s="5" t="n">
        <x:v>0</x:v>
      </x:c>
      <x:c r="G19" s="5" t="n">
        <x:v>0</x:v>
      </x:c>
      <x:c r="H19" s="5" t="n">
        <x:v>0</x:v>
      </x:c>
      <x:c r="I19" s="5" t="n">
        <x:v>0</x:v>
      </x:c>
      <x:c r="J19" s="5" t="n">
        <x:v>0</x:v>
      </x:c>
      <x:c r="K19" s="5" t="n">
        <x:v>0</x:v>
      </x:c>
      <x:c r="L19" s="5" t="n">
        <x:v>0</x:v>
      </x:c>
      <x:c r="M19" s="5" t="n">
        <x:v>0</x:v>
      </x:c>
      <x:c r="N19" s="5">
        <x:f>+SUM(B19:M19)</x:f>
      </x:c>
    </x:row>
    <x:row r="20" spans="1:14">
      <x:c r="A20" s="10" t="s">
        <x:v>32</x:v>
      </x:c>
      <x:c r="B20" s="5" t="n">
        <x:v>-2670</x:v>
      </x:c>
      <x:c r="C20" s="5" t="n">
        <x:v>-2500</x:v>
      </x:c>
      <x:c r="D20" s="5" t="n">
        <x:v>-2000</x:v>
      </x:c>
      <x:c r="E20" s="5" t="n">
        <x:v>0</x:v>
      </x:c>
      <x:c r="F20" s="5" t="n">
        <x:v>-2199</x:v>
      </x:c>
      <x:c r="G20" s="5" t="n">
        <x:v>0</x:v>
      </x:c>
      <x:c r="H20" s="5" t="n">
        <x:v>0</x:v>
      </x:c>
      <x:c r="I20" s="5" t="n">
        <x:v>0</x:v>
      </x:c>
      <x:c r="J20" s="5" t="n">
        <x:v>0</x:v>
      </x:c>
      <x:c r="K20" s="5" t="n">
        <x:v>0</x:v>
      </x:c>
      <x:c r="L20" s="5" t="n">
        <x:v>0</x:v>
      </x:c>
      <x:c r="M20" s="5" t="n">
        <x:v>0</x:v>
      </x:c>
      <x:c r="N20" s="5">
        <x:f>+SUM(B20:M20)</x:f>
      </x:c>
    </x:row>
    <x:row r="21" spans="1:14">
      <x:c r="A21" s="10" t="s">
        <x:v>33</x:v>
      </x:c>
      <x:c r="B21" s="5" t="n">
        <x:v>0</x:v>
      </x:c>
      <x:c r="C21" s="5" t="n">
        <x:v>0</x:v>
      </x:c>
      <x:c r="D21" s="5" t="n">
        <x:v>0</x:v>
      </x:c>
      <x:c r="E21" s="5" t="n">
        <x:v>0</x:v>
      </x:c>
      <x:c r="F21" s="5" t="n">
        <x:v>0</x:v>
      </x:c>
      <x:c r="G21" s="5" t="n">
        <x:v>-1000</x:v>
      </x:c>
      <x:c r="H21" s="5" t="n">
        <x:v>-500</x:v>
      </x:c>
      <x:c r="I21" s="5" t="n">
        <x:v>-1641.83</x:v>
      </x:c>
      <x:c r="J21" s="5" t="n">
        <x:v>-3585</x:v>
      </x:c>
      <x:c r="K21" s="5" t="n">
        <x:v>-8850</x:v>
      </x:c>
      <x:c r="L21" s="5" t="n">
        <x:v>-7597</x:v>
      </x:c>
      <x:c r="M21" s="5" t="n">
        <x:v>-4390</x:v>
      </x:c>
      <x:c r="N21" s="5">
        <x:f>+SUM(B21:M21)</x:f>
      </x:c>
    </x:row>
    <x:row r="22" spans="1:14">
      <x:c r="A22" s="11" t="s">
        <x:v>34</x:v>
      </x:c>
      <x:c r="B22" s="5" t="n">
        <x:v>-2670</x:v>
      </x:c>
      <x:c r="C22" s="5" t="n">
        <x:v>-2500</x:v>
      </x:c>
      <x:c r="D22" s="5" t="n">
        <x:v>-2000</x:v>
      </x:c>
      <x:c r="E22" s="5" t="n">
        <x:v>0</x:v>
      </x:c>
      <x:c r="F22" s="5" t="n">
        <x:v>-2199</x:v>
      </x:c>
      <x:c r="G22" s="5" t="n">
        <x:v>-1000</x:v>
      </x:c>
      <x:c r="H22" s="5" t="n">
        <x:v>-500</x:v>
      </x:c>
      <x:c r="I22" s="5" t="n">
        <x:v>-1641.83</x:v>
      </x:c>
      <x:c r="J22" s="5" t="n">
        <x:v>-3585</x:v>
      </x:c>
      <x:c r="K22" s="5" t="n">
        <x:v>-8850</x:v>
      </x:c>
      <x:c r="L22" s="5" t="n">
        <x:v>-7597</x:v>
      </x:c>
      <x:c r="M22" s="5" t="n">
        <x:v>-4390</x:v>
      </x:c>
      <x:c r="N22" s="5">
        <x:f>+SUM(B22:M22)</x:f>
      </x:c>
    </x:row>
    <x:row r="23" spans="1:14">
      <x:c r="A23" s="9" t="s">
        <x:v>35</x:v>
      </x:c>
      <x:c r="B23" s="5" t="s"/>
      <x:c r="C23" s="5" t="s"/>
      <x:c r="D23" s="5" t="s"/>
      <x:c r="E23" s="5" t="s"/>
      <x:c r="F23" s="5" t="s"/>
      <x:c r="G23" s="5" t="s"/>
      <x:c r="H23" s="5" t="s"/>
      <x:c r="I23" s="5" t="s"/>
      <x:c r="J23" s="5" t="s"/>
      <x:c r="K23" s="5" t="s"/>
      <x:c r="L23" s="5" t="s"/>
      <x:c r="M23" s="5" t="s"/>
      <x:c r="N23" s="5" t="s"/>
    </x:row>
    <x:row r="24" spans="1:14">
      <x:c r="A24" s="10" t="s">
        <x:v>36</x:v>
      </x:c>
      <x:c r="B24" s="5" t="n">
        <x:v>-15746.39</x:v>
      </x:c>
      <x:c r="C24" s="5" t="n">
        <x:v>-6250.34</x:v>
      </x:c>
      <x:c r="D24" s="5" t="n">
        <x:v>-30633.57</x:v>
      </x:c>
      <x:c r="E24" s="5" t="n">
        <x:v>-5435</x:v>
      </x:c>
      <x:c r="F24" s="5" t="n">
        <x:v>-12034</x:v>
      </x:c>
      <x:c r="G24" s="5" t="n">
        <x:v>-2876</x:v>
      </x:c>
      <x:c r="H24" s="5" t="n">
        <x:v>-1393</x:v>
      </x:c>
      <x:c r="I24" s="5" t="n">
        <x:v>-3220.46</x:v>
      </x:c>
      <x:c r="J24" s="5" t="n">
        <x:v>-12360</x:v>
      </x:c>
      <x:c r="K24" s="5" t="n">
        <x:v>-8003</x:v>
      </x:c>
      <x:c r="L24" s="5" t="n">
        <x:v>-17193.98</x:v>
      </x:c>
      <x:c r="M24" s="5" t="n">
        <x:v>-15070</x:v>
      </x:c>
      <x:c r="N24" s="5">
        <x:f>+SUM(B24:M24)</x:f>
      </x:c>
    </x:row>
    <x:row r="25" spans="1:14">
      <x:c r="A25" s="10" t="s">
        <x:v>37</x:v>
      </x:c>
      <x:c r="B25" s="5" t="n">
        <x:v>136.2</x:v>
      </x:c>
      <x:c r="C25" s="5" t="n">
        <x:v>0</x:v>
      </x:c>
      <x:c r="D25" s="5" t="n">
        <x:v>0</x:v>
      </x:c>
      <x:c r="E25" s="5" t="n">
        <x:v>0</x:v>
      </x:c>
      <x:c r="F25" s="5" t="n">
        <x:v>0</x:v>
      </x:c>
      <x:c r="G25" s="5" t="n">
        <x:v>0</x:v>
      </x:c>
      <x:c r="H25" s="5" t="n">
        <x:v>0</x:v>
      </x:c>
      <x:c r="I25" s="5" t="n">
        <x:v>0</x:v>
      </x:c>
      <x:c r="J25" s="5" t="n">
        <x:v>0</x:v>
      </x:c>
      <x:c r="K25" s="5" t="n">
        <x:v>0</x:v>
      </x:c>
      <x:c r="L25" s="5" t="n">
        <x:v>0</x:v>
      </x:c>
      <x:c r="M25" s="5" t="n">
        <x:v>182.35</x:v>
      </x:c>
      <x:c r="N25" s="5">
        <x:f>+SUM(B25:M25)</x:f>
      </x:c>
    </x:row>
    <x:row r="26" spans="1:14">
      <x:c r="A26" s="11" t="s">
        <x:v>38</x:v>
      </x:c>
      <x:c r="B26" s="5" t="n">
        <x:v>-15610.19</x:v>
      </x:c>
      <x:c r="C26" s="5" t="n">
        <x:v>-6250.34</x:v>
      </x:c>
      <x:c r="D26" s="5" t="n">
        <x:v>-30633.57</x:v>
      </x:c>
      <x:c r="E26" s="5" t="n">
        <x:v>-5435</x:v>
      </x:c>
      <x:c r="F26" s="5" t="n">
        <x:v>-12034</x:v>
      </x:c>
      <x:c r="G26" s="5" t="n">
        <x:v>-2876</x:v>
      </x:c>
      <x:c r="H26" s="5" t="n">
        <x:v>-1393</x:v>
      </x:c>
      <x:c r="I26" s="5" t="n">
        <x:v>-3220.46</x:v>
      </x:c>
      <x:c r="J26" s="5" t="n">
        <x:v>-12360</x:v>
      </x:c>
      <x:c r="K26" s="5" t="n">
        <x:v>-8003</x:v>
      </x:c>
      <x:c r="L26" s="5" t="n">
        <x:v>-17193.98</x:v>
      </x:c>
      <x:c r="M26" s="5" t="n">
        <x:v>-14887.65</x:v>
      </x:c>
      <x:c r="N26" s="5">
        <x:f>+SUM(B26:M26)</x:f>
      </x:c>
    </x:row>
    <x:row r="27" spans="1:14">
      <x:c r="A27" s="9" t="s">
        <x:v>39</x:v>
      </x:c>
      <x:c r="B27" s="5" t="n">
        <x:v>287593.81</x:v>
      </x:c>
      <x:c r="C27" s="5" t="n">
        <x:v>307521.66</x:v>
      </x:c>
      <x:c r="D27" s="5" t="n">
        <x:v>280925.43</x:v>
      </x:c>
      <x:c r="E27" s="5" t="n">
        <x:v>305358</x:v>
      </x:c>
      <x:c r="F27" s="5" t="n">
        <x:v>293282</x:v>
      </x:c>
      <x:c r="G27" s="5" t="n">
        <x:v>298738</x:v>
      </x:c>
      <x:c r="H27" s="5" t="n">
        <x:v>299264.66</x:v>
      </x:c>
      <x:c r="I27" s="5" t="n">
        <x:v>300581.37</x:v>
      </x:c>
      <x:c r="J27" s="5" t="n">
        <x:v>288761</x:v>
      </x:c>
      <x:c r="K27" s="5" t="n">
        <x:v>295612.86</x:v>
      </x:c>
      <x:c r="L27" s="5" t="n">
        <x:v>303656.02</x:v>
      </x:c>
      <x:c r="M27" s="5" t="n">
        <x:v>316700.35</x:v>
      </x:c>
      <x:c r="N27" s="5">
        <x:f>+SUM(B27:M27)</x:f>
      </x:c>
    </x:row>
    <x:row r="28" spans="1:14">
      <x:c r="A28" s="8" t="s">
        <x:v>40</x:v>
      </x:c>
      <x:c r="B28" s="5" t="s"/>
      <x:c r="C28" s="5" t="s"/>
      <x:c r="D28" s="5" t="s"/>
      <x:c r="E28" s="5" t="s"/>
      <x:c r="F28" s="5" t="s"/>
      <x:c r="G28" s="5" t="s"/>
      <x:c r="H28" s="5" t="s"/>
      <x:c r="I28" s="5" t="s"/>
      <x:c r="J28" s="5" t="s"/>
      <x:c r="K28" s="5" t="s"/>
      <x:c r="L28" s="5" t="s"/>
      <x:c r="M28" s="5" t="s"/>
      <x:c r="N28" s="5" t="s"/>
    </x:row>
    <x:row r="29" spans="1:14">
      <x:c r="A29" s="9" t="s">
        <x:v>41</x:v>
      </x:c>
      <x:c r="B29" s="5" t="s"/>
      <x:c r="C29" s="5" t="s"/>
      <x:c r="D29" s="5" t="s"/>
      <x:c r="E29" s="5" t="s"/>
      <x:c r="F29" s="5" t="s"/>
      <x:c r="G29" s="5" t="s"/>
      <x:c r="H29" s="5" t="s"/>
      <x:c r="I29" s="5" t="s"/>
      <x:c r="J29" s="5" t="s"/>
      <x:c r="K29" s="5" t="s"/>
      <x:c r="L29" s="5" t="s"/>
      <x:c r="M29" s="5" t="s"/>
      <x:c r="N29" s="5" t="s"/>
    </x:row>
    <x:row r="30" spans="1:14">
      <x:c r="A30" s="10" t="s">
        <x:v>42</x:v>
      </x:c>
      <x:c r="B30" s="5" t="n">
        <x:v>675</x:v>
      </x:c>
      <x:c r="C30" s="5" t="n">
        <x:v>525</x:v>
      </x:c>
      <x:c r="D30" s="5" t="n">
        <x:v>450</x:v>
      </x:c>
      <x:c r="E30" s="5" t="n">
        <x:v>750</x:v>
      </x:c>
      <x:c r="F30" s="5" t="n">
        <x:v>225</x:v>
      </x:c>
      <x:c r="G30" s="5" t="n">
        <x:v>225</x:v>
      </x:c>
      <x:c r="H30" s="5" t="n">
        <x:v>150</x:v>
      </x:c>
      <x:c r="I30" s="5" t="n">
        <x:v>525</x:v>
      </x:c>
      <x:c r="J30" s="5" t="n">
        <x:v>375</x:v>
      </x:c>
      <x:c r="K30" s="5" t="n">
        <x:v>300</x:v>
      </x:c>
      <x:c r="L30" s="5" t="n">
        <x:v>300</x:v>
      </x:c>
      <x:c r="M30" s="5" t="n">
        <x:v>150</x:v>
      </x:c>
      <x:c r="N30" s="5">
        <x:f>+SUM(B30:M30)</x:f>
      </x:c>
    </x:row>
    <x:row r="31" spans="1:14">
      <x:c r="A31" s="10" t="s">
        <x:v>43</x:v>
      </x:c>
      <x:c r="B31" s="5" t="n">
        <x:v>105</x:v>
      </x:c>
      <x:c r="C31" s="5" t="n">
        <x:v>105</x:v>
      </x:c>
      <x:c r="D31" s="5" t="n">
        <x:v>105</x:v>
      </x:c>
      <x:c r="E31" s="5" t="n">
        <x:v>15</x:v>
      </x:c>
      <x:c r="F31" s="5" t="n">
        <x:v>95</x:v>
      </x:c>
      <x:c r="G31" s="5" t="n">
        <x:v>95</x:v>
      </x:c>
      <x:c r="H31" s="5" t="n">
        <x:v>95</x:v>
      </x:c>
      <x:c r="I31" s="5" t="n">
        <x:v>95</x:v>
      </x:c>
      <x:c r="J31" s="5" t="n">
        <x:v>130</x:v>
      </x:c>
      <x:c r="K31" s="5" t="n">
        <x:v>164</x:v>
      </x:c>
      <x:c r="L31" s="5" t="n">
        <x:v>724</x:v>
      </x:c>
      <x:c r="M31" s="5" t="n">
        <x:v>235</x:v>
      </x:c>
      <x:c r="N31" s="5">
        <x:f>+SUM(B31:M31)</x:f>
      </x:c>
    </x:row>
    <x:row r="32" spans="1:14">
      <x:c r="A32" s="11" t="s">
        <x:v>44</x:v>
      </x:c>
      <x:c r="B32" s="5" t="n">
        <x:v>780</x:v>
      </x:c>
      <x:c r="C32" s="5" t="n">
        <x:v>630</x:v>
      </x:c>
      <x:c r="D32" s="5" t="n">
        <x:v>555</x:v>
      </x:c>
      <x:c r="E32" s="5" t="n">
        <x:v>765</x:v>
      </x:c>
      <x:c r="F32" s="5" t="n">
        <x:v>320</x:v>
      </x:c>
      <x:c r="G32" s="5" t="n">
        <x:v>320</x:v>
      </x:c>
      <x:c r="H32" s="5" t="n">
        <x:v>245</x:v>
      </x:c>
      <x:c r="I32" s="5" t="n">
        <x:v>620</x:v>
      </x:c>
      <x:c r="J32" s="5" t="n">
        <x:v>505</x:v>
      </x:c>
      <x:c r="K32" s="5" t="n">
        <x:v>464</x:v>
      </x:c>
      <x:c r="L32" s="5" t="n">
        <x:v>1024</x:v>
      </x:c>
      <x:c r="M32" s="5" t="n">
        <x:v>385</x:v>
      </x:c>
      <x:c r="N32" s="5">
        <x:f>+SUM(B32:M32)</x:f>
      </x:c>
    </x:row>
    <x:row r="33" spans="1:14">
      <x:c r="A33" s="9" t="s">
        <x:v>45</x:v>
      </x:c>
      <x:c r="B33" s="5" t="s"/>
      <x:c r="C33" s="5" t="s"/>
      <x:c r="D33" s="5" t="s"/>
      <x:c r="E33" s="5" t="s"/>
      <x:c r="F33" s="5" t="s"/>
      <x:c r="G33" s="5" t="s"/>
      <x:c r="H33" s="5" t="s"/>
      <x:c r="I33" s="5" t="s"/>
      <x:c r="J33" s="5" t="s"/>
      <x:c r="K33" s="5" t="s"/>
      <x:c r="L33" s="5" t="s"/>
      <x:c r="M33" s="5" t="s"/>
      <x:c r="N33" s="5" t="s"/>
    </x:row>
    <x:row r="34" spans="1:14">
      <x:c r="A34" s="10" t="s">
        <x:v>46</x:v>
      </x:c>
      <x:c r="B34" s="5" t="n">
        <x:v>675</x:v>
      </x:c>
      <x:c r="C34" s="5" t="n">
        <x:v>360</x:v>
      </x:c>
      <x:c r="D34" s="5" t="n">
        <x:v>450</x:v>
      </x:c>
      <x:c r="E34" s="5" t="n">
        <x:v>240</x:v>
      </x:c>
      <x:c r="F34" s="5" t="n">
        <x:v>510</x:v>
      </x:c>
      <x:c r="G34" s="5" t="n">
        <x:v>480</x:v>
      </x:c>
      <x:c r="H34" s="5" t="n">
        <x:v>300</x:v>
      </x:c>
      <x:c r="I34" s="5" t="n">
        <x:v>660</x:v>
      </x:c>
      <x:c r="J34" s="5" t="n">
        <x:v>90</x:v>
      </x:c>
      <x:c r="K34" s="5" t="n">
        <x:v>990</x:v>
      </x:c>
      <x:c r="L34" s="5" t="n">
        <x:v>1140</x:v>
      </x:c>
      <x:c r="M34" s="5" t="n">
        <x:v>420</x:v>
      </x:c>
      <x:c r="N34" s="5">
        <x:f>+SUM(B34:M34)</x:f>
      </x:c>
    </x:row>
    <x:row r="35" spans="1:14">
      <x:c r="A35" s="10" t="s">
        <x:v>47</x:v>
      </x:c>
      <x:c r="B35" s="5" t="n">
        <x:v>0</x:v>
      </x:c>
      <x:c r="C35" s="5" t="n">
        <x:v>0</x:v>
      </x:c>
      <x:c r="D35" s="5" t="n">
        <x:v>0</x:v>
      </x:c>
      <x:c r="E35" s="5" t="n">
        <x:v>0</x:v>
      </x:c>
      <x:c r="F35" s="5" t="n">
        <x:v>289.3</x:v>
      </x:c>
      <x:c r="G35" s="5" t="n">
        <x:v>0</x:v>
      </x:c>
      <x:c r="H35" s="5" t="n">
        <x:v>0</x:v>
      </x:c>
      <x:c r="I35" s="5" t="n">
        <x:v>0</x:v>
      </x:c>
      <x:c r="J35" s="5" t="n">
        <x:v>0</x:v>
      </x:c>
      <x:c r="K35" s="5" t="n">
        <x:v>0</x:v>
      </x:c>
      <x:c r="L35" s="5" t="n">
        <x:v>0</x:v>
      </x:c>
      <x:c r="M35" s="5" t="n">
        <x:v>0</x:v>
      </x:c>
      <x:c r="N35" s="5">
        <x:f>+SUM(B35:M35)</x:f>
      </x:c>
    </x:row>
    <x:row r="36" spans="1:14">
      <x:c r="A36" s="10" t="s">
        <x:v>48</x:v>
      </x:c>
      <x:c r="B36" s="5" t="n">
        <x:v>1393.3</x:v>
      </x:c>
      <x:c r="C36" s="5" t="n">
        <x:v>1842.16</x:v>
      </x:c>
      <x:c r="D36" s="5" t="n">
        <x:v>2117.29</x:v>
      </x:c>
      <x:c r="E36" s="5" t="n">
        <x:v>0</x:v>
      </x:c>
      <x:c r="F36" s="5" t="n">
        <x:v>3053.49</x:v>
      </x:c>
      <x:c r="G36" s="5" t="n">
        <x:v>4378.85</x:v>
      </x:c>
      <x:c r="H36" s="5" t="n">
        <x:v>5689.34</x:v>
      </x:c>
      <x:c r="I36" s="5" t="n">
        <x:v>0</x:v>
      </x:c>
      <x:c r="J36" s="5" t="n">
        <x:v>2611.12</x:v>
      </x:c>
      <x:c r="K36" s="5" t="n">
        <x:v>0</x:v>
      </x:c>
      <x:c r="L36" s="5" t="n">
        <x:v>5914.36</x:v>
      </x:c>
      <x:c r="M36" s="5" t="n">
        <x:v>2420.16</x:v>
      </x:c>
      <x:c r="N36" s="5">
        <x:f>+SUM(B36:M36)</x:f>
      </x:c>
    </x:row>
    <x:row r="37" spans="1:14">
      <x:c r="A37" s="10" t="s">
        <x:v>49</x:v>
      </x:c>
      <x:c r="B37" s="5" t="n">
        <x:v>1150</x:v>
      </x:c>
      <x:c r="C37" s="5" t="n">
        <x:v>2750</x:v>
      </x:c>
      <x:c r="D37" s="5" t="n">
        <x:v>1425</x:v>
      </x:c>
      <x:c r="E37" s="5" t="n">
        <x:v>2625</x:v>
      </x:c>
      <x:c r="F37" s="5" t="n">
        <x:v>4225</x:v>
      </x:c>
      <x:c r="G37" s="5" t="n">
        <x:v>4050</x:v>
      </x:c>
      <x:c r="H37" s="5" t="n">
        <x:v>4125</x:v>
      </x:c>
      <x:c r="I37" s="5" t="n">
        <x:v>3750</x:v>
      </x:c>
      <x:c r="J37" s="5" t="n">
        <x:v>3450</x:v>
      </x:c>
      <x:c r="K37" s="5" t="n">
        <x:v>3325</x:v>
      </x:c>
      <x:c r="L37" s="5" t="n">
        <x:v>4100</x:v>
      </x:c>
      <x:c r="M37" s="5" t="n">
        <x:v>3475</x:v>
      </x:c>
      <x:c r="N37" s="5">
        <x:f>+SUM(B37:M37)</x:f>
      </x:c>
    </x:row>
    <x:row r="38" spans="1:14">
      <x:c r="A38" s="10" t="s">
        <x:v>50</x:v>
      </x:c>
      <x:c r="B38" s="5" t="n">
        <x:v>-17743.44</x:v>
      </x:c>
      <x:c r="C38" s="5" t="n">
        <x:v>450</x:v>
      </x:c>
      <x:c r="D38" s="5" t="n">
        <x:v>1740.28</x:v>
      </x:c>
      <x:c r="E38" s="5" t="n">
        <x:v>1575.24</x:v>
      </x:c>
      <x:c r="F38" s="5" t="n">
        <x:v>1774.31</x:v>
      </x:c>
      <x:c r="G38" s="5" t="n">
        <x:v>960.06</x:v>
      </x:c>
      <x:c r="H38" s="5" t="n">
        <x:v>6280.11</x:v>
      </x:c>
      <x:c r="I38" s="5" t="n">
        <x:v>994</x:v>
      </x:c>
      <x:c r="J38" s="5" t="n">
        <x:v>-606.01</x:v>
      </x:c>
      <x:c r="K38" s="5" t="n">
        <x:v>2955.08</x:v>
      </x:c>
      <x:c r="L38" s="5" t="n">
        <x:v>1124.16</x:v>
      </x:c>
      <x:c r="M38" s="5" t="n">
        <x:v>827.83</x:v>
      </x:c>
      <x:c r="N38" s="5">
        <x:f>+SUM(B38:M38)</x:f>
      </x:c>
    </x:row>
    <x:row r="39" spans="1:14">
      <x:c r="A39" s="10" t="s">
        <x:v>51</x:v>
      </x:c>
      <x:c r="B39" s="5" t="n">
        <x:v>0</x:v>
      </x:c>
      <x:c r="C39" s="5" t="n">
        <x:v>0</x:v>
      </x:c>
      <x:c r="D39" s="5" t="n">
        <x:v>0</x:v>
      </x:c>
      <x:c r="E39" s="5" t="n">
        <x:v>0</x:v>
      </x:c>
      <x:c r="F39" s="5" t="n">
        <x:v>0</x:v>
      </x:c>
      <x:c r="G39" s="5" t="n">
        <x:v>0</x:v>
      </x:c>
      <x:c r="H39" s="5" t="n">
        <x:v>0</x:v>
      </x:c>
      <x:c r="I39" s="5" t="n">
        <x:v>0</x:v>
      </x:c>
      <x:c r="J39" s="5" t="n">
        <x:v>0</x:v>
      </x:c>
      <x:c r="K39" s="5" t="n">
        <x:v>0</x:v>
      </x:c>
      <x:c r="L39" s="5" t="n">
        <x:v>0</x:v>
      </x:c>
      <x:c r="M39" s="5" t="n">
        <x:v>0</x:v>
      </x:c>
      <x:c r="N39" s="5">
        <x:f>+SUM(B39:M39)</x:f>
      </x:c>
    </x:row>
    <x:row r="40" spans="1:14">
      <x:c r="A40" s="11" t="s">
        <x:v>52</x:v>
      </x:c>
      <x:c r="B40" s="5" t="n">
        <x:v>-14525.14</x:v>
      </x:c>
      <x:c r="C40" s="5" t="n">
        <x:v>5402.16</x:v>
      </x:c>
      <x:c r="D40" s="5" t="n">
        <x:v>5732.57</x:v>
      </x:c>
      <x:c r="E40" s="5" t="n">
        <x:v>4440.24</x:v>
      </x:c>
      <x:c r="F40" s="5" t="n">
        <x:v>9852.1</x:v>
      </x:c>
      <x:c r="G40" s="5" t="n">
        <x:v>9868.91</x:v>
      </x:c>
      <x:c r="H40" s="5" t="n">
        <x:v>16394.45</x:v>
      </x:c>
      <x:c r="I40" s="5" t="n">
        <x:v>5404</x:v>
      </x:c>
      <x:c r="J40" s="5" t="n">
        <x:v>5545.11</x:v>
      </x:c>
      <x:c r="K40" s="5" t="n">
        <x:v>7270.08</x:v>
      </x:c>
      <x:c r="L40" s="5" t="n">
        <x:v>12278.52</x:v>
      </x:c>
      <x:c r="M40" s="5" t="n">
        <x:v>7142.99</x:v>
      </x:c>
      <x:c r="N40" s="5">
        <x:f>+SUM(B40:M40)</x:f>
      </x:c>
    </x:row>
    <x:row r="41" spans="1:14">
      <x:c r="A41" s="9" t="s">
        <x:v>53</x:v>
      </x:c>
      <x:c r="B41" s="5" t="n">
        <x:v>-13745.14</x:v>
      </x:c>
      <x:c r="C41" s="5" t="n">
        <x:v>6032.16</x:v>
      </x:c>
      <x:c r="D41" s="5" t="n">
        <x:v>6287.57</x:v>
      </x:c>
      <x:c r="E41" s="5" t="n">
        <x:v>5205.24</x:v>
      </x:c>
      <x:c r="F41" s="5" t="n">
        <x:v>10172.1</x:v>
      </x:c>
      <x:c r="G41" s="5" t="n">
        <x:v>10188.91</x:v>
      </x:c>
      <x:c r="H41" s="5" t="n">
        <x:v>16639.45</x:v>
      </x:c>
      <x:c r="I41" s="5" t="n">
        <x:v>6024</x:v>
      </x:c>
      <x:c r="J41" s="5" t="n">
        <x:v>6050.11</x:v>
      </x:c>
      <x:c r="K41" s="5" t="n">
        <x:v>7734.08</x:v>
      </x:c>
      <x:c r="L41" s="5" t="n">
        <x:v>13302.52</x:v>
      </x:c>
      <x:c r="M41" s="5" t="n">
        <x:v>7527.99</x:v>
      </x:c>
      <x:c r="N41" s="5">
        <x:f>+SUM(B41:M41)</x:f>
      </x:c>
    </x:row>
    <x:row r="42" spans="1:14">
      <x:c r="A42" s="8" t="s">
        <x:v>54</x:v>
      </x:c>
      <x:c r="B42" s="5" t="n">
        <x:v>273848.67</x:v>
      </x:c>
      <x:c r="C42" s="5" t="n">
        <x:v>313553.82</x:v>
      </x:c>
      <x:c r="D42" s="5" t="n">
        <x:v>287213</x:v>
      </x:c>
      <x:c r="E42" s="5" t="n">
        <x:v>310563.24</x:v>
      </x:c>
      <x:c r="F42" s="5" t="n">
        <x:v>303454.1</x:v>
      </x:c>
      <x:c r="G42" s="5" t="n">
        <x:v>308926.91</x:v>
      </x:c>
      <x:c r="H42" s="5" t="n">
        <x:v>315904.11</x:v>
      </x:c>
      <x:c r="I42" s="5" t="n">
        <x:v>306605.37</x:v>
      </x:c>
      <x:c r="J42" s="5" t="n">
        <x:v>294811.11</x:v>
      </x:c>
      <x:c r="K42" s="5" t="n">
        <x:v>303346.94</x:v>
      </x:c>
      <x:c r="L42" s="5" t="n">
        <x:v>316958.54</x:v>
      </x:c>
      <x:c r="M42" s="5" t="n">
        <x:v>324228.34</x:v>
      </x:c>
      <x:c r="N42" s="5">
        <x:f>+SUM(B42:M42)</x:f>
      </x:c>
    </x:row>
    <x:row r="43" spans="1:14">
      <x:c r="A43" s="7" t="s">
        <x:v>55</x:v>
      </x:c>
      <x:c r="B43" s="5" t="s"/>
      <x:c r="C43" s="5" t="s"/>
      <x:c r="D43" s="5" t="s"/>
      <x:c r="E43" s="5" t="s"/>
      <x:c r="F43" s="5" t="s"/>
      <x:c r="G43" s="5" t="s"/>
      <x:c r="H43" s="5" t="s"/>
      <x:c r="I43" s="5" t="s"/>
      <x:c r="J43" s="5" t="s"/>
      <x:c r="K43" s="5" t="s"/>
      <x:c r="L43" s="5" t="s"/>
      <x:c r="M43" s="5" t="s"/>
      <x:c r="N43" s="5" t="s"/>
    </x:row>
    <x:row r="44" spans="1:14">
      <x:c r="A44" s="8" t="s">
        <x:v>56</x:v>
      </x:c>
      <x:c r="B44" s="5" t="s"/>
      <x:c r="C44" s="5" t="s"/>
      <x:c r="D44" s="5" t="s"/>
      <x:c r="E44" s="5" t="s"/>
      <x:c r="F44" s="5" t="s"/>
      <x:c r="G44" s="5" t="s"/>
      <x:c r="H44" s="5" t="s"/>
      <x:c r="I44" s="5" t="s"/>
      <x:c r="J44" s="5" t="s"/>
      <x:c r="K44" s="5" t="s"/>
      <x:c r="L44" s="5" t="s"/>
      <x:c r="M44" s="5" t="s"/>
      <x:c r="N44" s="5" t="s"/>
    </x:row>
    <x:row r="45" spans="1:14">
      <x:c r="A45" s="9" t="s">
        <x:v>57</x:v>
      </x:c>
      <x:c r="B45" s="5" t="s"/>
      <x:c r="C45" s="5" t="s"/>
      <x:c r="D45" s="5" t="s"/>
      <x:c r="E45" s="5" t="s"/>
      <x:c r="F45" s="5" t="s"/>
      <x:c r="G45" s="5" t="s"/>
      <x:c r="H45" s="5" t="s"/>
      <x:c r="I45" s="5" t="s"/>
      <x:c r="J45" s="5" t="s"/>
      <x:c r="K45" s="5" t="s"/>
      <x:c r="L45" s="5" t="s"/>
      <x:c r="M45" s="5" t="s"/>
      <x:c r="N45" s="5" t="s"/>
    </x:row>
    <x:row r="46" spans="1:14">
      <x:c r="A46" s="11" t="s">
        <x:v>58</x:v>
      </x:c>
      <x:c r="B46" s="5" t="s"/>
      <x:c r="C46" s="5" t="s"/>
      <x:c r="D46" s="5" t="s"/>
      <x:c r="E46" s="5" t="s"/>
      <x:c r="F46" s="5" t="s"/>
      <x:c r="G46" s="5" t="s"/>
      <x:c r="H46" s="5" t="s"/>
      <x:c r="I46" s="5" t="s"/>
      <x:c r="J46" s="5" t="s"/>
      <x:c r="K46" s="5" t="s"/>
      <x:c r="L46" s="5" t="s"/>
      <x:c r="M46" s="5" t="s"/>
      <x:c r="N46" s="5" t="s"/>
    </x:row>
    <x:row r="47" spans="1:14">
      <x:c r="A47" s="12" t="s">
        <x:v>59</x:v>
      </x:c>
      <x:c r="B47" s="5" t="n">
        <x:v>32826.69</x:v>
      </x:c>
      <x:c r="C47" s="5" t="n">
        <x:v>20885.88</x:v>
      </x:c>
      <x:c r="D47" s="5" t="n">
        <x:v>19639.9</x:v>
      </x:c>
      <x:c r="E47" s="5" t="n">
        <x:v>18811.36</x:v>
      </x:c>
      <x:c r="F47" s="5" t="n">
        <x:v>16734.43</x:v>
      </x:c>
      <x:c r="G47" s="5" t="n">
        <x:v>16310.04</x:v>
      </x:c>
      <x:c r="H47" s="5" t="n">
        <x:v>17384.34</x:v>
      </x:c>
      <x:c r="I47" s="5" t="n">
        <x:v>17477</x:v>
      </x:c>
      <x:c r="J47" s="5" t="n">
        <x:v>17210.69</x:v>
      </x:c>
      <x:c r="K47" s="5" t="n">
        <x:v>17352.47</x:v>
      </x:c>
      <x:c r="L47" s="5" t="n">
        <x:v>17243.71</x:v>
      </x:c>
      <x:c r="M47" s="5" t="n">
        <x:v>17533.58</x:v>
      </x:c>
      <x:c r="N47" s="5">
        <x:f>+SUM(B47:M47)</x:f>
      </x:c>
    </x:row>
    <x:row r="48" spans="1:14">
      <x:c r="A48" s="12" t="s">
        <x:v>60</x:v>
      </x:c>
      <x:c r="B48" s="5" t="n">
        <x:v>29879.51</x:v>
      </x:c>
      <x:c r="C48" s="5" t="n">
        <x:v>16506.38</x:v>
      </x:c>
      <x:c r="D48" s="5" t="n">
        <x:v>17588.78</x:v>
      </x:c>
      <x:c r="E48" s="5" t="n">
        <x:v>21030.86</x:v>
      </x:c>
      <x:c r="F48" s="5" t="n">
        <x:v>20495.27</x:v>
      </x:c>
      <x:c r="G48" s="5" t="n">
        <x:v>20048.21</x:v>
      </x:c>
      <x:c r="H48" s="5" t="n">
        <x:v>15661.76</x:v>
      </x:c>
      <x:c r="I48" s="5" t="n">
        <x:v>16480.62</x:v>
      </x:c>
      <x:c r="J48" s="5" t="n">
        <x:v>16208.38</x:v>
      </x:c>
      <x:c r="K48" s="5" t="n">
        <x:v>16563.75</x:v>
      </x:c>
      <x:c r="L48" s="5" t="n">
        <x:v>16920.76</x:v>
      </x:c>
      <x:c r="M48" s="5" t="n">
        <x:v>14703.23</x:v>
      </x:c>
      <x:c r="N48" s="5">
        <x:f>+SUM(B48:M48)</x:f>
      </x:c>
    </x:row>
    <x:row r="49" spans="1:14">
      <x:c r="A49" s="12" t="s">
        <x:v>61</x:v>
      </x:c>
      <x:c r="B49" s="5" t="n">
        <x:v>0</x:v>
      </x:c>
      <x:c r="C49" s="5" t="n">
        <x:v>0</x:v>
      </x:c>
      <x:c r="D49" s="5" t="n">
        <x:v>900</x:v>
      </x:c>
      <x:c r="E49" s="5" t="n">
        <x:v>14725</x:v>
      </x:c>
      <x:c r="F49" s="5" t="n">
        <x:v>1357.15</x:v>
      </x:c>
      <x:c r="G49" s="5" t="n">
        <x:v>495</x:v>
      </x:c>
      <x:c r="H49" s="5" t="n">
        <x:v>209.75</x:v>
      </x:c>
      <x:c r="I49" s="5" t="n">
        <x:v>0</x:v>
      </x:c>
      <x:c r="J49" s="5" t="n">
        <x:v>825</x:v>
      </x:c>
      <x:c r="K49" s="5" t="n">
        <x:v>0</x:v>
      </x:c>
      <x:c r="L49" s="5" t="n">
        <x:v>668</x:v>
      </x:c>
      <x:c r="M49" s="5" t="n">
        <x:v>5000</x:v>
      </x:c>
      <x:c r="N49" s="5">
        <x:f>+SUM(B49:M49)</x:f>
      </x:c>
    </x:row>
    <x:row r="50" spans="1:14">
      <x:c r="A50" s="12" t="s">
        <x:v>62</x:v>
      </x:c>
      <x:c r="B50" s="5" t="n">
        <x:v>0</x:v>
      </x:c>
      <x:c r="C50" s="5" t="n">
        <x:v>0</x:v>
      </x:c>
      <x:c r="D50" s="5" t="n">
        <x:v>0</x:v>
      </x:c>
      <x:c r="E50" s="5" t="n">
        <x:v>0</x:v>
      </x:c>
      <x:c r="F50" s="5" t="n">
        <x:v>0</x:v>
      </x:c>
      <x:c r="G50" s="5" t="n">
        <x:v>0</x:v>
      </x:c>
      <x:c r="H50" s="5" t="n">
        <x:v>0</x:v>
      </x:c>
      <x:c r="I50" s="5" t="n">
        <x:v>0</x:v>
      </x:c>
      <x:c r="J50" s="5" t="n">
        <x:v>0</x:v>
      </x:c>
      <x:c r="K50" s="5" t="n">
        <x:v>0</x:v>
      </x:c>
      <x:c r="L50" s="5" t="n">
        <x:v>0</x:v>
      </x:c>
      <x:c r="M50" s="5" t="n">
        <x:v>4293.52</x:v>
      </x:c>
      <x:c r="N50" s="5">
        <x:f>+SUM(B50:M50)</x:f>
      </x:c>
    </x:row>
    <x:row r="51" spans="1:14">
      <x:c r="A51" s="13" t="s">
        <x:v>63</x:v>
      </x:c>
      <x:c r="B51" s="5" t="n">
        <x:v>62706.2</x:v>
      </x:c>
      <x:c r="C51" s="5" t="n">
        <x:v>37392.26</x:v>
      </x:c>
      <x:c r="D51" s="5" t="n">
        <x:v>38128.68</x:v>
      </x:c>
      <x:c r="E51" s="5" t="n">
        <x:v>54567.22</x:v>
      </x:c>
      <x:c r="F51" s="5" t="n">
        <x:v>38586.85</x:v>
      </x:c>
      <x:c r="G51" s="5" t="n">
        <x:v>36853.25</x:v>
      </x:c>
      <x:c r="H51" s="5" t="n">
        <x:v>33255.85</x:v>
      </x:c>
      <x:c r="I51" s="5" t="n">
        <x:v>33957.62</x:v>
      </x:c>
      <x:c r="J51" s="5" t="n">
        <x:v>34244.07</x:v>
      </x:c>
      <x:c r="K51" s="5" t="n">
        <x:v>33916.22</x:v>
      </x:c>
      <x:c r="L51" s="5" t="n">
        <x:v>34832.47</x:v>
      </x:c>
      <x:c r="M51" s="5" t="n">
        <x:v>41530.33</x:v>
      </x:c>
      <x:c r="N51" s="5">
        <x:f>+SUM(B51:M51)</x:f>
      </x:c>
    </x:row>
    <x:row r="52" spans="1:14">
      <x:c r="A52" s="11" t="s">
        <x:v>64</x:v>
      </x:c>
      <x:c r="B52" s="5" t="s"/>
      <x:c r="C52" s="5" t="s"/>
      <x:c r="D52" s="5" t="s"/>
      <x:c r="E52" s="5" t="s"/>
      <x:c r="F52" s="5" t="s"/>
      <x:c r="G52" s="5" t="s"/>
      <x:c r="H52" s="5" t="s"/>
      <x:c r="I52" s="5" t="s"/>
      <x:c r="J52" s="5" t="s"/>
      <x:c r="K52" s="5" t="s"/>
      <x:c r="L52" s="5" t="s"/>
      <x:c r="M52" s="5" t="s"/>
      <x:c r="N52" s="5" t="s"/>
    </x:row>
    <x:row r="53" spans="1:14">
      <x:c r="A53" s="12" t="s">
        <x:v>65</x:v>
      </x:c>
      <x:c r="B53" s="5" t="n">
        <x:v>6865.1</x:v>
      </x:c>
      <x:c r="C53" s="5" t="n">
        <x:v>2324.31</x:v>
      </x:c>
      <x:c r="D53" s="5" t="n">
        <x:v>7611.07</x:v>
      </x:c>
      <x:c r="E53" s="5" t="n">
        <x:v>6890.59</x:v>
      </x:c>
      <x:c r="F53" s="5" t="n">
        <x:v>5096.3</x:v>
      </x:c>
      <x:c r="G53" s="5" t="n">
        <x:v>4916.78</x:v>
      </x:c>
      <x:c r="H53" s="5" t="n">
        <x:v>8621.74</x:v>
      </x:c>
      <x:c r="I53" s="5" t="n">
        <x:v>4111.98</x:v>
      </x:c>
      <x:c r="J53" s="5" t="n">
        <x:v>5422.9</x:v>
      </x:c>
      <x:c r="K53" s="5" t="n">
        <x:v>4054.51</x:v>
      </x:c>
      <x:c r="L53" s="5" t="n">
        <x:v>5926.61</x:v>
      </x:c>
      <x:c r="M53" s="5" t="n">
        <x:v>4282.69</x:v>
      </x:c>
      <x:c r="N53" s="5">
        <x:f>+SUM(B53:M53)</x:f>
      </x:c>
    </x:row>
    <x:row r="54" spans="1:14">
      <x:c r="A54" s="12" t="s">
        <x:v>66</x:v>
      </x:c>
      <x:c r="B54" s="5" t="n">
        <x:v>2342.79</x:v>
      </x:c>
      <x:c r="C54" s="5" t="n">
        <x:v>795.38</x:v>
      </x:c>
      <x:c r="D54" s="5" t="n">
        <x:v>-180.47</x:v>
      </x:c>
      <x:c r="E54" s="5" t="n">
        <x:v>-89.44</x:v>
      </x:c>
      <x:c r="F54" s="5" t="n">
        <x:v>-277.04</x:v>
      </x:c>
      <x:c r="G54" s="5" t="n">
        <x:v>-231.2</x:v>
      </x:c>
      <x:c r="H54" s="5" t="n">
        <x:v>282.78</x:v>
      </x:c>
      <x:c r="I54" s="5" t="n">
        <x:v>405.62</x:v>
      </x:c>
      <x:c r="J54" s="5" t="n">
        <x:v>425.92</x:v>
      </x:c>
      <x:c r="K54" s="5" t="n">
        <x:v>439.24</x:v>
      </x:c>
      <x:c r="L54" s="5" t="n">
        <x:v>462.15</x:v>
      </x:c>
      <x:c r="M54" s="5" t="n">
        <x:v>593.62</x:v>
      </x:c>
      <x:c r="N54" s="5">
        <x:f>+SUM(B54:M54)</x:f>
      </x:c>
    </x:row>
    <x:row r="55" spans="1:14">
      <x:c r="A55" s="12" t="s">
        <x:v>67</x:v>
      </x:c>
      <x:c r="B55" s="5" t="n">
        <x:v>11379.37</x:v>
      </x:c>
      <x:c r="C55" s="5" t="n">
        <x:v>4196.38</x:v>
      </x:c>
      <x:c r="D55" s="5" t="n">
        <x:v>8733.83</x:v>
      </x:c>
      <x:c r="E55" s="5" t="n">
        <x:v>8826.45</x:v>
      </x:c>
      <x:c r="F55" s="5" t="n">
        <x:v>7149.39</x:v>
      </x:c>
      <x:c r="G55" s="5" t="n">
        <x:v>7237.32</x:v>
      </x:c>
      <x:c r="H55" s="5" t="n">
        <x:v>3380.93</x:v>
      </x:c>
      <x:c r="I55" s="5" t="n">
        <x:v>3537.8</x:v>
      </x:c>
      <x:c r="J55" s="5" t="n">
        <x:v>3507.62</x:v>
      </x:c>
      <x:c r="K55" s="5" t="n">
        <x:v>3548.04</x:v>
      </x:c>
      <x:c r="L55" s="5" t="n">
        <x:v>3555.49</x:v>
      </x:c>
      <x:c r="M55" s="5" t="n">
        <x:v>3710.02</x:v>
      </x:c>
      <x:c r="N55" s="5">
        <x:f>+SUM(B55:M55)</x:f>
      </x:c>
    </x:row>
    <x:row r="56" spans="1:14">
      <x:c r="A56" s="12" t="s">
        <x:v>68</x:v>
      </x:c>
      <x:c r="B56" s="5" t="n">
        <x:v>244.37</x:v>
      </x:c>
      <x:c r="C56" s="5" t="n">
        <x:v>244.37</x:v>
      </x:c>
      <x:c r="D56" s="5" t="n">
        <x:v>-243.25</x:v>
      </x:c>
      <x:c r="E56" s="5" t="n">
        <x:v>-48.16</x:v>
      </x:c>
      <x:c r="F56" s="5" t="n">
        <x:v>-149.17</x:v>
      </x:c>
      <x:c r="G56" s="5" t="n">
        <x:v>-124.5</x:v>
      </x:c>
      <x:c r="H56" s="5" t="n">
        <x:v>152.25</x:v>
      </x:c>
      <x:c r="I56" s="5" t="n">
        <x:v>218.41</x:v>
      </x:c>
      <x:c r="J56" s="5" t="n">
        <x:v>229.35</x:v>
      </x:c>
      <x:c r="K56" s="5" t="n">
        <x:v>236.52</x:v>
      </x:c>
      <x:c r="L56" s="5" t="n">
        <x:v>248.86</x:v>
      </x:c>
      <x:c r="M56" s="5" t="n">
        <x:v>319.64</x:v>
      </x:c>
      <x:c r="N56" s="5">
        <x:f>+SUM(B56:M56)</x:f>
      </x:c>
    </x:row>
    <x:row r="57" spans="1:14">
      <x:c r="A57" s="13" t="s">
        <x:v>69</x:v>
      </x:c>
      <x:c r="B57" s="5" t="n">
        <x:v>20831.63</x:v>
      </x:c>
      <x:c r="C57" s="5" t="n">
        <x:v>7560.44</x:v>
      </x:c>
      <x:c r="D57" s="5" t="n">
        <x:v>15921.18</x:v>
      </x:c>
      <x:c r="E57" s="5" t="n">
        <x:v>15579.44</x:v>
      </x:c>
      <x:c r="F57" s="5" t="n">
        <x:v>11819.48</x:v>
      </x:c>
      <x:c r="G57" s="5" t="n">
        <x:v>11798.4</x:v>
      </x:c>
      <x:c r="H57" s="5" t="n">
        <x:v>12437.7</x:v>
      </x:c>
      <x:c r="I57" s="5" t="n">
        <x:v>8273.81</x:v>
      </x:c>
      <x:c r="J57" s="5" t="n">
        <x:v>9585.79</x:v>
      </x:c>
      <x:c r="K57" s="5" t="n">
        <x:v>8278.31</x:v>
      </x:c>
      <x:c r="L57" s="5" t="n">
        <x:v>10193.11</x:v>
      </x:c>
      <x:c r="M57" s="5" t="n">
        <x:v>8905.97</x:v>
      </x:c>
      <x:c r="N57" s="5">
        <x:f>+SUM(B57:M57)</x:f>
      </x:c>
    </x:row>
    <x:row r="58" spans="1:14">
      <x:c r="A58" s="11" t="s">
        <x:v>70</x:v>
      </x:c>
      <x:c r="B58" s="5" t="n">
        <x:v>83537.83</x:v>
      </x:c>
      <x:c r="C58" s="5" t="n">
        <x:v>44952.7</x:v>
      </x:c>
      <x:c r="D58" s="5" t="n">
        <x:v>54049.86</x:v>
      </x:c>
      <x:c r="E58" s="5" t="n">
        <x:v>70146.66</x:v>
      </x:c>
      <x:c r="F58" s="5" t="n">
        <x:v>50406.33</x:v>
      </x:c>
      <x:c r="G58" s="5" t="n">
        <x:v>48651.65</x:v>
      </x:c>
      <x:c r="H58" s="5" t="n">
        <x:v>45693.55</x:v>
      </x:c>
      <x:c r="I58" s="5" t="n">
        <x:v>42231.43</x:v>
      </x:c>
      <x:c r="J58" s="5" t="n">
        <x:v>43829.86</x:v>
      </x:c>
      <x:c r="K58" s="5" t="n">
        <x:v>42194.53</x:v>
      </x:c>
      <x:c r="L58" s="5" t="n">
        <x:v>45025.58</x:v>
      </x:c>
      <x:c r="M58" s="5" t="n">
        <x:v>50436.3</x:v>
      </x:c>
      <x:c r="N58" s="5">
        <x:f>+SUM(B58:M58)</x:f>
      </x:c>
    </x:row>
    <x:row r="59" spans="1:14">
      <x:c r="A59" s="9" t="s">
        <x:v>71</x:v>
      </x:c>
      <x:c r="B59" s="5" t="s"/>
      <x:c r="C59" s="5" t="s"/>
      <x:c r="D59" s="5" t="s"/>
      <x:c r="E59" s="5" t="s"/>
      <x:c r="F59" s="5" t="s"/>
      <x:c r="G59" s="5" t="s"/>
      <x:c r="H59" s="5" t="s"/>
      <x:c r="I59" s="5" t="s"/>
      <x:c r="J59" s="5" t="s"/>
      <x:c r="K59" s="5" t="s"/>
      <x:c r="L59" s="5" t="s"/>
      <x:c r="M59" s="5" t="s"/>
      <x:c r="N59" s="5" t="s"/>
    </x:row>
    <x:row r="60" spans="1:14">
      <x:c r="A60" s="10" t="s">
        <x:v>72</x:v>
      </x:c>
      <x:c r="B60" s="5" t="n">
        <x:v>0</x:v>
      </x:c>
      <x:c r="C60" s="5" t="n">
        <x:v>0</x:v>
      </x:c>
      <x:c r="D60" s="5" t="n">
        <x:v>257.47</x:v>
      </x:c>
      <x:c r="E60" s="5" t="n">
        <x:v>131.6</x:v>
      </x:c>
      <x:c r="F60" s="5" t="n">
        <x:v>0</x:v>
      </x:c>
      <x:c r="G60" s="5" t="n">
        <x:v>1658.86</x:v>
      </x:c>
      <x:c r="H60" s="5" t="n">
        <x:v>0</x:v>
      </x:c>
      <x:c r="I60" s="5" t="n">
        <x:v>0</x:v>
      </x:c>
      <x:c r="J60" s="5" t="n">
        <x:v>0</x:v>
      </x:c>
      <x:c r="K60" s="5" t="n">
        <x:v>0</x:v>
      </x:c>
      <x:c r="L60" s="5" t="n">
        <x:v>0</x:v>
      </x:c>
      <x:c r="M60" s="5" t="n">
        <x:v>0</x:v>
      </x:c>
      <x:c r="N60" s="5">
        <x:f>+SUM(B60:M60)</x:f>
      </x:c>
    </x:row>
    <x:row r="61" spans="1:14">
      <x:c r="A61" s="10" t="s">
        <x:v>73</x:v>
      </x:c>
      <x:c r="B61" s="5" t="n">
        <x:v>0</x:v>
      </x:c>
      <x:c r="C61" s="5" t="n">
        <x:v>0</x:v>
      </x:c>
      <x:c r="D61" s="5" t="n">
        <x:v>0</x:v>
      </x:c>
      <x:c r="E61" s="5" t="n">
        <x:v>0</x:v>
      </x:c>
      <x:c r="F61" s="5" t="n">
        <x:v>0</x:v>
      </x:c>
      <x:c r="G61" s="5" t="n">
        <x:v>0</x:v>
      </x:c>
      <x:c r="H61" s="5" t="n">
        <x:v>0</x:v>
      </x:c>
      <x:c r="I61" s="5" t="n">
        <x:v>0</x:v>
      </x:c>
      <x:c r="J61" s="5" t="n">
        <x:v>0</x:v>
      </x:c>
      <x:c r="K61" s="5" t="n">
        <x:v>0</x:v>
      </x:c>
      <x:c r="L61" s="5" t="n">
        <x:v>879.9</x:v>
      </x:c>
      <x:c r="M61" s="5" t="n">
        <x:v>0</x:v>
      </x:c>
      <x:c r="N61" s="5">
        <x:f>+SUM(B61:M61)</x:f>
      </x:c>
    </x:row>
    <x:row r="62" spans="1:14">
      <x:c r="A62" s="10" t="s">
        <x:v>74</x:v>
      </x:c>
      <x:c r="B62" s="5" t="n">
        <x:v>0</x:v>
      </x:c>
      <x:c r="C62" s="5" t="n">
        <x:v>0</x:v>
      </x:c>
      <x:c r="D62" s="5" t="n">
        <x:v>289.58</x:v>
      </x:c>
      <x:c r="E62" s="5" t="n">
        <x:v>0</x:v>
      </x:c>
      <x:c r="F62" s="5" t="n">
        <x:v>252.77</x:v>
      </x:c>
      <x:c r="G62" s="5" t="n">
        <x:v>0</x:v>
      </x:c>
      <x:c r="H62" s="5" t="n">
        <x:v>0</x:v>
      </x:c>
      <x:c r="I62" s="5" t="n">
        <x:v>0</x:v>
      </x:c>
      <x:c r="J62" s="5" t="n">
        <x:v>0</x:v>
      </x:c>
      <x:c r="K62" s="5" t="n">
        <x:v>0</x:v>
      </x:c>
      <x:c r="L62" s="5" t="n">
        <x:v>0</x:v>
      </x:c>
      <x:c r="M62" s="5" t="n">
        <x:v>0</x:v>
      </x:c>
      <x:c r="N62" s="5">
        <x:f>+SUM(B62:M62)</x:f>
      </x:c>
    </x:row>
    <x:row r="63" spans="1:14">
      <x:c r="A63" s="10" t="s">
        <x:v>75</x:v>
      </x:c>
      <x:c r="B63" s="5" t="n">
        <x:v>1186.53</x:v>
      </x:c>
      <x:c r="C63" s="5" t="n">
        <x:v>3761.19</x:v>
      </x:c>
      <x:c r="D63" s="5" t="n">
        <x:v>22460.82</x:v>
      </x:c>
      <x:c r="E63" s="5" t="n">
        <x:v>11227.03</x:v>
      </x:c>
      <x:c r="F63" s="5" t="n">
        <x:v>2156.9</x:v>
      </x:c>
      <x:c r="G63" s="5" t="n">
        <x:v>4124.62</x:v>
      </x:c>
      <x:c r="H63" s="5" t="n">
        <x:v>3928.4</x:v>
      </x:c>
      <x:c r="I63" s="5" t="n">
        <x:v>3922.76</x:v>
      </x:c>
      <x:c r="J63" s="5" t="n">
        <x:v>13022.41</x:v>
      </x:c>
      <x:c r="K63" s="5" t="n">
        <x:v>11017.74</x:v>
      </x:c>
      <x:c r="L63" s="5" t="n">
        <x:v>4777.53</x:v>
      </x:c>
      <x:c r="M63" s="5" t="n">
        <x:v>2470.42</x:v>
      </x:c>
      <x:c r="N63" s="5">
        <x:f>+SUM(B63:M63)</x:f>
      </x:c>
    </x:row>
    <x:row r="64" spans="1:14">
      <x:c r="A64" s="10" t="s">
        <x:v>76</x:v>
      </x:c>
      <x:c r="B64" s="5" t="n">
        <x:v>4981.95</x:v>
      </x:c>
      <x:c r="C64" s="5" t="n">
        <x:v>3208.73</x:v>
      </x:c>
      <x:c r="D64" s="5" t="n">
        <x:v>2802.33</x:v>
      </x:c>
      <x:c r="E64" s="5" t="n">
        <x:v>1819.56</x:v>
      </x:c>
      <x:c r="F64" s="5" t="n">
        <x:v>4165.53</x:v>
      </x:c>
      <x:c r="G64" s="5" t="n">
        <x:v>3747.95</x:v>
      </x:c>
      <x:c r="H64" s="5" t="n">
        <x:v>1783.95</x:v>
      </x:c>
      <x:c r="I64" s="5" t="n">
        <x:v>3901.58</x:v>
      </x:c>
      <x:c r="J64" s="5" t="n">
        <x:v>2042.03</x:v>
      </x:c>
      <x:c r="K64" s="5" t="n">
        <x:v>9326.71</x:v>
      </x:c>
      <x:c r="L64" s="5" t="n">
        <x:v>7438.47</x:v>
      </x:c>
      <x:c r="M64" s="5" t="n">
        <x:v>2185</x:v>
      </x:c>
      <x:c r="N64" s="5">
        <x:f>+SUM(B64:M64)</x:f>
      </x:c>
    </x:row>
    <x:row r="65" spans="1:14">
      <x:c r="A65" s="10" t="s">
        <x:v>77</x:v>
      </x:c>
      <x:c r="B65" s="5" t="n">
        <x:v>0</x:v>
      </x:c>
      <x:c r="C65" s="5" t="n">
        <x:v>0</x:v>
      </x:c>
      <x:c r="D65" s="5" t="n">
        <x:v>0</x:v>
      </x:c>
      <x:c r="E65" s="5" t="n">
        <x:v>71.38</x:v>
      </x:c>
      <x:c r="F65" s="5" t="n">
        <x:v>0</x:v>
      </x:c>
      <x:c r="G65" s="5" t="n">
        <x:v>815.46</x:v>
      </x:c>
      <x:c r="H65" s="5" t="n">
        <x:v>0</x:v>
      </x:c>
      <x:c r="I65" s="5" t="n">
        <x:v>0</x:v>
      </x:c>
      <x:c r="J65" s="5" t="n">
        <x:v>0</x:v>
      </x:c>
      <x:c r="K65" s="5" t="n">
        <x:v>0</x:v>
      </x:c>
      <x:c r="L65" s="5" t="n">
        <x:v>0</x:v>
      </x:c>
      <x:c r="M65" s="5" t="n">
        <x:v>0</x:v>
      </x:c>
      <x:c r="N65" s="5">
        <x:f>+SUM(B65:M65)</x:f>
      </x:c>
    </x:row>
    <x:row r="66" spans="1:14">
      <x:c r="A66" s="10" t="s">
        <x:v>78</x:v>
      </x:c>
      <x:c r="B66" s="5" t="n">
        <x:v>13347.36</x:v>
      </x:c>
      <x:c r="C66" s="5" t="n">
        <x:v>2912.35</x:v>
      </x:c>
      <x:c r="D66" s="5" t="n">
        <x:v>66.65</x:v>
      </x:c>
      <x:c r="E66" s="5" t="n">
        <x:v>0</x:v>
      </x:c>
      <x:c r="F66" s="5" t="n">
        <x:v>0</x:v>
      </x:c>
      <x:c r="G66" s="5" t="n">
        <x:v>2016</x:v>
      </x:c>
      <x:c r="H66" s="5" t="n">
        <x:v>0</x:v>
      </x:c>
      <x:c r="I66" s="5" t="n">
        <x:v>0</x:v>
      </x:c>
      <x:c r="J66" s="5" t="n">
        <x:v>0</x:v>
      </x:c>
      <x:c r="K66" s="5" t="n">
        <x:v>0</x:v>
      </x:c>
      <x:c r="L66" s="5" t="n">
        <x:v>4286.1</x:v>
      </x:c>
      <x:c r="M66" s="5" t="n">
        <x:v>14070.69</x:v>
      </x:c>
      <x:c r="N66" s="5">
        <x:f>+SUM(B66:M66)</x:f>
      </x:c>
    </x:row>
    <x:row r="67" spans="1:14">
      <x:c r="A67" s="10" t="s">
        <x:v>79</x:v>
      </x:c>
      <x:c r="B67" s="5" t="n">
        <x:v>0</x:v>
      </x:c>
      <x:c r="C67" s="5" t="n">
        <x:v>0</x:v>
      </x:c>
      <x:c r="D67" s="5" t="n">
        <x:v>67.69</x:v>
      </x:c>
      <x:c r="E67" s="5" t="n">
        <x:v>572.89</x:v>
      </x:c>
      <x:c r="F67" s="5" t="n">
        <x:v>394.58</x:v>
      </x:c>
      <x:c r="G67" s="5" t="n">
        <x:v>3035.35</x:v>
      </x:c>
      <x:c r="H67" s="5" t="n">
        <x:v>0</x:v>
      </x:c>
      <x:c r="I67" s="5" t="n">
        <x:v>0</x:v>
      </x:c>
      <x:c r="J67" s="5" t="n">
        <x:v>0</x:v>
      </x:c>
      <x:c r="K67" s="5" t="n">
        <x:v>0</x:v>
      </x:c>
      <x:c r="L67" s="5" t="n">
        <x:v>0</x:v>
      </x:c>
      <x:c r="M67" s="5" t="n">
        <x:v>0</x:v>
      </x:c>
      <x:c r="N67" s="5">
        <x:f>+SUM(B67:M67)</x:f>
      </x:c>
    </x:row>
    <x:row r="68" spans="1:14">
      <x:c r="A68" s="11" t="s">
        <x:v>80</x:v>
      </x:c>
      <x:c r="B68" s="5" t="n">
        <x:v>19515.84</x:v>
      </x:c>
      <x:c r="C68" s="5" t="n">
        <x:v>9882.27</x:v>
      </x:c>
      <x:c r="D68" s="5" t="n">
        <x:v>25944.54</x:v>
      </x:c>
      <x:c r="E68" s="5" t="n">
        <x:v>13822.46</x:v>
      </x:c>
      <x:c r="F68" s="5" t="n">
        <x:v>6969.78</x:v>
      </x:c>
      <x:c r="G68" s="5" t="n">
        <x:v>15398.24</x:v>
      </x:c>
      <x:c r="H68" s="5" t="n">
        <x:v>5712.35</x:v>
      </x:c>
      <x:c r="I68" s="5" t="n">
        <x:v>7824.34</x:v>
      </x:c>
      <x:c r="J68" s="5" t="n">
        <x:v>15064.44</x:v>
      </x:c>
      <x:c r="K68" s="5" t="n">
        <x:v>20344.45</x:v>
      </x:c>
      <x:c r="L68" s="5" t="n">
        <x:v>17382</x:v>
      </x:c>
      <x:c r="M68" s="5" t="n">
        <x:v>18726.11</x:v>
      </x:c>
      <x:c r="N68" s="5">
        <x:f>+SUM(B68:M68)</x:f>
      </x:c>
    </x:row>
    <x:row r="69" spans="1:14">
      <x:c r="A69" s="9" t="s">
        <x:v>81</x:v>
      </x:c>
      <x:c r="B69" s="5" t="s"/>
      <x:c r="C69" s="5" t="s"/>
      <x:c r="D69" s="5" t="s"/>
      <x:c r="E69" s="5" t="s"/>
      <x:c r="F69" s="5" t="s"/>
      <x:c r="G69" s="5" t="s"/>
      <x:c r="H69" s="5" t="s"/>
      <x:c r="I69" s="5" t="s"/>
      <x:c r="J69" s="5" t="s"/>
      <x:c r="K69" s="5" t="s"/>
      <x:c r="L69" s="5" t="s"/>
      <x:c r="M69" s="5" t="s"/>
      <x:c r="N69" s="5" t="s"/>
    </x:row>
    <x:row r="70" spans="1:14">
      <x:c r="A70" s="10" t="s">
        <x:v>82</x:v>
      </x:c>
      <x:c r="B70" s="5" t="n">
        <x:v>221.42</x:v>
      </x:c>
      <x:c r="C70" s="5" t="n">
        <x:v>266.3</x:v>
      </x:c>
      <x:c r="D70" s="5" t="n">
        <x:v>390.09</x:v>
      </x:c>
      <x:c r="E70" s="5" t="n">
        <x:v>0</x:v>
      </x:c>
      <x:c r="F70" s="5" t="n">
        <x:v>215.52</x:v>
      </x:c>
      <x:c r="G70" s="5" t="n">
        <x:v>544.98</x:v>
      </x:c>
      <x:c r="H70" s="5" t="n">
        <x:v>1733.08</x:v>
      </x:c>
      <x:c r="I70" s="5" t="n">
        <x:v>1668.68</x:v>
      </x:c>
      <x:c r="J70" s="5" t="n">
        <x:v>352.92</x:v>
      </x:c>
      <x:c r="K70" s="5" t="n">
        <x:v>3066.6</x:v>
      </x:c>
      <x:c r="L70" s="5" t="n">
        <x:v>3247.75</x:v>
      </x:c>
      <x:c r="M70" s="5" t="n">
        <x:v>92.58</x:v>
      </x:c>
      <x:c r="N70" s="5">
        <x:f>+SUM(B70:M70)</x:f>
      </x:c>
    </x:row>
    <x:row r="71" spans="1:14">
      <x:c r="A71" s="10" t="s">
        <x:v>83</x:v>
      </x:c>
      <x:c r="B71" s="5" t="n">
        <x:v>620.58</x:v>
      </x:c>
      <x:c r="C71" s="5" t="n">
        <x:v>479.49</x:v>
      </x:c>
      <x:c r="D71" s="5" t="n">
        <x:v>1950.15</x:v>
      </x:c>
      <x:c r="E71" s="5" t="n">
        <x:v>2046.9</x:v>
      </x:c>
      <x:c r="F71" s="5" t="n">
        <x:v>684.87</x:v>
      </x:c>
      <x:c r="G71" s="5" t="n">
        <x:v>292.38</x:v>
      </x:c>
      <x:c r="H71" s="5" t="n">
        <x:v>34.38</x:v>
      </x:c>
      <x:c r="I71" s="5" t="n">
        <x:v>0</x:v>
      </x:c>
      <x:c r="J71" s="5" t="n">
        <x:v>0</x:v>
      </x:c>
      <x:c r="K71" s="5" t="n">
        <x:v>568.02</x:v>
      </x:c>
      <x:c r="L71" s="5" t="n">
        <x:v>1265.08</x:v>
      </x:c>
      <x:c r="M71" s="5" t="n">
        <x:v>-105.64</x:v>
      </x:c>
      <x:c r="N71" s="5">
        <x:f>+SUM(B71:M71)</x:f>
      </x:c>
    </x:row>
    <x:row r="72" spans="1:14">
      <x:c r="A72" s="10" t="s">
        <x:v>84</x:v>
      </x:c>
      <x:c r="B72" s="5" t="n">
        <x:v>0</x:v>
      </x:c>
      <x:c r="C72" s="5" t="n">
        <x:v>0</x:v>
      </x:c>
      <x:c r="D72" s="5" t="n">
        <x:v>998.94</x:v>
      </x:c>
      <x:c r="E72" s="5" t="n">
        <x:v>0</x:v>
      </x:c>
      <x:c r="F72" s="5" t="n">
        <x:v>0</x:v>
      </x:c>
      <x:c r="G72" s="5" t="n">
        <x:v>0</x:v>
      </x:c>
      <x:c r="H72" s="5" t="n">
        <x:v>0</x:v>
      </x:c>
      <x:c r="I72" s="5" t="n">
        <x:v>0</x:v>
      </x:c>
      <x:c r="J72" s="5" t="n">
        <x:v>0</x:v>
      </x:c>
      <x:c r="K72" s="5" t="n">
        <x:v>0</x:v>
      </x:c>
      <x:c r="L72" s="5" t="n">
        <x:v>0</x:v>
      </x:c>
      <x:c r="M72" s="5" t="n">
        <x:v>0</x:v>
      </x:c>
      <x:c r="N72" s="5">
        <x:f>+SUM(B72:M72)</x:f>
      </x:c>
    </x:row>
    <x:row r="73" spans="1:14">
      <x:c r="A73" s="10" t="s">
        <x:v>85</x:v>
      </x:c>
      <x:c r="B73" s="5" t="n">
        <x:v>509.8</x:v>
      </x:c>
      <x:c r="C73" s="5" t="n">
        <x:v>509.8</x:v>
      </x:c>
      <x:c r="D73" s="5" t="n">
        <x:v>509.8</x:v>
      </x:c>
      <x:c r="E73" s="5" t="n">
        <x:v>938.41</x:v>
      </x:c>
      <x:c r="F73" s="5" t="n">
        <x:v>2276.9</x:v>
      </x:c>
      <x:c r="G73" s="5" t="n">
        <x:v>165.45</x:v>
      </x:c>
      <x:c r="H73" s="5" t="n">
        <x:v>0</x:v>
      </x:c>
      <x:c r="I73" s="5" t="n">
        <x:v>7143.5</x:v>
      </x:c>
      <x:c r="J73" s="5" t="n">
        <x:v>0</x:v>
      </x:c>
      <x:c r="K73" s="5" t="n">
        <x:v>1359.5</x:v>
      </x:c>
      <x:c r="L73" s="5" t="n">
        <x:v>0</x:v>
      </x:c>
      <x:c r="M73" s="5" t="n">
        <x:v>0</x:v>
      </x:c>
      <x:c r="N73" s="5">
        <x:f>+SUM(B73:M73)</x:f>
      </x:c>
    </x:row>
    <x:row r="74" spans="1:14">
      <x:c r="A74" s="10" t="s">
        <x:v>86</x:v>
      </x:c>
      <x:c r="B74" s="5" t="n">
        <x:v>0</x:v>
      </x:c>
      <x:c r="C74" s="5" t="n">
        <x:v>0</x:v>
      </x:c>
      <x:c r="D74" s="5" t="n">
        <x:v>0</x:v>
      </x:c>
      <x:c r="E74" s="5" t="n">
        <x:v>195.74</x:v>
      </x:c>
      <x:c r="F74" s="5" t="n">
        <x:v>0</x:v>
      </x:c>
      <x:c r="G74" s="5" t="n">
        <x:v>0</x:v>
      </x:c>
      <x:c r="H74" s="5" t="n">
        <x:v>0</x:v>
      </x:c>
      <x:c r="I74" s="5" t="n">
        <x:v>0</x:v>
      </x:c>
      <x:c r="J74" s="5" t="n">
        <x:v>0</x:v>
      </x:c>
      <x:c r="K74" s="5" t="n">
        <x:v>0</x:v>
      </x:c>
      <x:c r="L74" s="5" t="n">
        <x:v>0</x:v>
      </x:c>
      <x:c r="M74" s="5" t="n">
        <x:v>0</x:v>
      </x:c>
      <x:c r="N74" s="5">
        <x:f>+SUM(B74:M74)</x:f>
      </x:c>
    </x:row>
    <x:row r="75" spans="1:14">
      <x:c r="A75" s="10" t="s">
        <x:v>87</x:v>
      </x:c>
      <x:c r="B75" s="5" t="n">
        <x:v>935.35</x:v>
      </x:c>
      <x:c r="C75" s="5" t="n">
        <x:v>3987.67</x:v>
      </x:c>
      <x:c r="D75" s="5" t="n">
        <x:v>432.95</x:v>
      </x:c>
      <x:c r="E75" s="5" t="n">
        <x:v>2357.19</x:v>
      </x:c>
      <x:c r="F75" s="5" t="n">
        <x:v>1532.83</x:v>
      </x:c>
      <x:c r="G75" s="5" t="n">
        <x:v>80.57</x:v>
      </x:c>
      <x:c r="H75" s="5" t="n">
        <x:v>129.89</x:v>
      </x:c>
      <x:c r="I75" s="5" t="n">
        <x:v>955.05</x:v>
      </x:c>
      <x:c r="J75" s="5" t="n">
        <x:v>19.24</x:v>
      </x:c>
      <x:c r="K75" s="5" t="n">
        <x:v>1245.27</x:v>
      </x:c>
      <x:c r="L75" s="5" t="n">
        <x:v>2022.45</x:v>
      </x:c>
      <x:c r="M75" s="5" t="n">
        <x:v>329.74</x:v>
      </x:c>
      <x:c r="N75" s="5">
        <x:f>+SUM(B75:M75)</x:f>
      </x:c>
    </x:row>
    <x:row r="76" spans="1:14">
      <x:c r="A76" s="10" t="s">
        <x:v>88</x:v>
      </x:c>
      <x:c r="B76" s="5" t="n">
        <x:v>0</x:v>
      </x:c>
      <x:c r="C76" s="5" t="n">
        <x:v>0</x:v>
      </x:c>
      <x:c r="D76" s="5" t="n">
        <x:v>0</x:v>
      </x:c>
      <x:c r="E76" s="5" t="n">
        <x:v>0</x:v>
      </x:c>
      <x:c r="F76" s="5" t="n">
        <x:v>0</x:v>
      </x:c>
      <x:c r="G76" s="5" t="n">
        <x:v>0</x:v>
      </x:c>
      <x:c r="H76" s="5" t="n">
        <x:v>108.07</x:v>
      </x:c>
      <x:c r="I76" s="5" t="n">
        <x:v>0</x:v>
      </x:c>
      <x:c r="J76" s="5" t="n">
        <x:v>0</x:v>
      </x:c>
      <x:c r="K76" s="5" t="n">
        <x:v>160.25</x:v>
      </x:c>
      <x:c r="L76" s="5" t="n">
        <x:v>157.74</x:v>
      </x:c>
      <x:c r="M76" s="5" t="n">
        <x:v>253.2</x:v>
      </x:c>
      <x:c r="N76" s="5">
        <x:f>+SUM(B76:M76)</x:f>
      </x:c>
    </x:row>
    <x:row r="77" spans="1:14">
      <x:c r="A77" s="10" t="s">
        <x:v>89</x:v>
      </x:c>
      <x:c r="B77" s="5" t="n">
        <x:v>346.57</x:v>
      </x:c>
      <x:c r="C77" s="5" t="n">
        <x:v>865.26</x:v>
      </x:c>
      <x:c r="D77" s="5" t="n">
        <x:v>281.33</x:v>
      </x:c>
      <x:c r="E77" s="5" t="n">
        <x:v>3215.89</x:v>
      </x:c>
      <x:c r="F77" s="5" t="n">
        <x:v>794.49</x:v>
      </x:c>
      <x:c r="G77" s="5" t="n">
        <x:v>39.55</x:v>
      </x:c>
      <x:c r="H77" s="5" t="n">
        <x:v>0</x:v>
      </x:c>
      <x:c r="I77" s="5" t="n">
        <x:v>0</x:v>
      </x:c>
      <x:c r="J77" s="5" t="n">
        <x:v>0</x:v>
      </x:c>
      <x:c r="K77" s="5" t="n">
        <x:v>0</x:v>
      </x:c>
      <x:c r="L77" s="5" t="n">
        <x:v>0</x:v>
      </x:c>
      <x:c r="M77" s="5" t="n">
        <x:v>0</x:v>
      </x:c>
      <x:c r="N77" s="5">
        <x:f>+SUM(B77:M77)</x:f>
      </x:c>
    </x:row>
    <x:row r="78" spans="1:14">
      <x:c r="A78" s="11" t="s">
        <x:v>90</x:v>
      </x:c>
      <x:c r="B78" s="5" t="n">
        <x:v>2633.72</x:v>
      </x:c>
      <x:c r="C78" s="5" t="n">
        <x:v>6108.52</x:v>
      </x:c>
      <x:c r="D78" s="5" t="n">
        <x:v>4563.26</x:v>
      </x:c>
      <x:c r="E78" s="5" t="n">
        <x:v>8754.13</x:v>
      </x:c>
      <x:c r="F78" s="5" t="n">
        <x:v>5504.61</x:v>
      </x:c>
      <x:c r="G78" s="5" t="n">
        <x:v>1122.93</x:v>
      </x:c>
      <x:c r="H78" s="5" t="n">
        <x:v>2005.42</x:v>
      </x:c>
      <x:c r="I78" s="5" t="n">
        <x:v>9767.23</x:v>
      </x:c>
      <x:c r="J78" s="5" t="n">
        <x:v>372.16</x:v>
      </x:c>
      <x:c r="K78" s="5" t="n">
        <x:v>6399.64</x:v>
      </x:c>
      <x:c r="L78" s="5" t="n">
        <x:v>6693.02</x:v>
      </x:c>
      <x:c r="M78" s="5" t="n">
        <x:v>569.88</x:v>
      </x:c>
      <x:c r="N78" s="5">
        <x:f>+SUM(B78:M78)</x:f>
      </x:c>
    </x:row>
    <x:row r="79" spans="1:14">
      <x:c r="A79" s="9" t="s">
        <x:v>91</x:v>
      </x:c>
      <x:c r="B79" s="5" t="s"/>
      <x:c r="C79" s="5" t="s"/>
      <x:c r="D79" s="5" t="s"/>
      <x:c r="E79" s="5" t="s"/>
      <x:c r="F79" s="5" t="s"/>
      <x:c r="G79" s="5" t="s"/>
      <x:c r="H79" s="5" t="s"/>
      <x:c r="I79" s="5" t="s"/>
      <x:c r="J79" s="5" t="s"/>
      <x:c r="K79" s="5" t="s"/>
      <x:c r="L79" s="5" t="s"/>
      <x:c r="M79" s="5" t="s"/>
      <x:c r="N79" s="5" t="s"/>
    </x:row>
    <x:row r="80" spans="1:14">
      <x:c r="A80" s="10" t="s">
        <x:v>92</x:v>
      </x:c>
      <x:c r="B80" s="5" t="n">
        <x:v>255.9</x:v>
      </x:c>
      <x:c r="C80" s="5" t="n">
        <x:v>249.02</x:v>
      </x:c>
      <x:c r="D80" s="5" t="n">
        <x:v>368.65</x:v>
      </x:c>
      <x:c r="E80" s="5" t="n">
        <x:v>405.91</x:v>
      </x:c>
      <x:c r="F80" s="5" t="n">
        <x:v>211.39</x:v>
      </x:c>
      <x:c r="G80" s="5" t="n">
        <x:v>-105.24</x:v>
      </x:c>
      <x:c r="H80" s="5" t="n">
        <x:v>0</x:v>
      </x:c>
      <x:c r="I80" s="5" t="n">
        <x:v>145.45</x:v>
      </x:c>
      <x:c r="J80" s="5" t="n">
        <x:v>271.1</x:v>
      </x:c>
      <x:c r="K80" s="5" t="n">
        <x:v>149.84</x:v>
      </x:c>
      <x:c r="L80" s="5" t="n">
        <x:v>146.48</x:v>
      </x:c>
      <x:c r="M80" s="5" t="n">
        <x:v>149</x:v>
      </x:c>
      <x:c r="N80" s="5">
        <x:f>+SUM(B80:M80)</x:f>
      </x:c>
    </x:row>
    <x:row r="81" spans="1:14">
      <x:c r="A81" s="10" t="s">
        <x:v>93</x:v>
      </x:c>
      <x:c r="B81" s="5" t="n">
        <x:v>-718.72</x:v>
      </x:c>
      <x:c r="C81" s="5" t="n">
        <x:v>448.7</x:v>
      </x:c>
      <x:c r="D81" s="5" t="n">
        <x:v>984.35</x:v>
      </x:c>
      <x:c r="E81" s="5" t="n">
        <x:v>556.21</x:v>
      </x:c>
      <x:c r="F81" s="5" t="n">
        <x:v>626.82</x:v>
      </x:c>
      <x:c r="G81" s="5" t="n">
        <x:v>812.69</x:v>
      </x:c>
      <x:c r="H81" s="5" t="n">
        <x:v>0</x:v>
      </x:c>
      <x:c r="I81" s="5" t="n">
        <x:v>0</x:v>
      </x:c>
      <x:c r="J81" s="5" t="n">
        <x:v>219.25</x:v>
      </x:c>
      <x:c r="K81" s="5" t="n">
        <x:v>0</x:v>
      </x:c>
      <x:c r="L81" s="5" t="n">
        <x:v>0</x:v>
      </x:c>
      <x:c r="M81" s="5" t="n">
        <x:v>1372.96</x:v>
      </x:c>
      <x:c r="N81" s="5">
        <x:f>+SUM(B81:M81)</x:f>
      </x:c>
    </x:row>
    <x:row r="82" spans="1:14">
      <x:c r="A82" s="10" t="s">
        <x:v>94</x:v>
      </x:c>
      <x:c r="B82" s="5" t="n">
        <x:v>3052.25</x:v>
      </x:c>
      <x:c r="C82" s="5" t="n">
        <x:v>0</x:v>
      </x:c>
      <x:c r="D82" s="5" t="n">
        <x:v>185</x:v>
      </x:c>
      <x:c r="E82" s="5" t="n">
        <x:v>8084.82</x:v>
      </x:c>
      <x:c r="F82" s="5" t="n">
        <x:v>1095</x:v>
      </x:c>
      <x:c r="G82" s="5" t="n">
        <x:v>645</x:v>
      </x:c>
      <x:c r="H82" s="5" t="n">
        <x:v>2957</x:v>
      </x:c>
      <x:c r="I82" s="5" t="n">
        <x:v>2485.03</x:v>
      </x:c>
      <x:c r="J82" s="5" t="n">
        <x:v>0</x:v>
      </x:c>
      <x:c r="K82" s="5" t="n">
        <x:v>-2008.45</x:v>
      </x:c>
      <x:c r="L82" s="5" t="n">
        <x:v>185</x:v>
      </x:c>
      <x:c r="M82" s="5" t="n">
        <x:v>2867.25</x:v>
      </x:c>
      <x:c r="N82" s="5">
        <x:f>+SUM(B82:M82)</x:f>
      </x:c>
    </x:row>
    <x:row r="83" spans="1:14">
      <x:c r="A83" s="10" t="s">
        <x:v>95</x:v>
      </x:c>
      <x:c r="B83" s="5" t="n">
        <x:v>3571.75</x:v>
      </x:c>
      <x:c r="C83" s="5" t="n">
        <x:v>3571.75</x:v>
      </x:c>
      <x:c r="D83" s="5" t="n">
        <x:v>3571.75</x:v>
      </x:c>
      <x:c r="E83" s="5" t="n">
        <x:v>3571.75</x:v>
      </x:c>
      <x:c r="F83" s="5" t="n">
        <x:v>3571.75</x:v>
      </x:c>
      <x:c r="G83" s="5" t="n">
        <x:v>3725.61</x:v>
      </x:c>
      <x:c r="H83" s="5" t="n">
        <x:v>3650.27</x:v>
      </x:c>
      <x:c r="I83" s="5" t="n">
        <x:v>3571.75</x:v>
      </x:c>
      <x:c r="J83" s="5" t="n">
        <x:v>3571.75</x:v>
      </x:c>
      <x:c r="K83" s="5" t="n">
        <x:v>3571.75</x:v>
      </x:c>
      <x:c r="L83" s="5" t="n">
        <x:v>3862.99</x:v>
      </x:c>
      <x:c r="M83" s="5" t="n">
        <x:v>3571.75</x:v>
      </x:c>
      <x:c r="N83" s="5">
        <x:f>+SUM(B83:M83)</x:f>
      </x:c>
    </x:row>
    <x:row r="84" spans="1:14">
      <x:c r="A84" s="10" t="s">
        <x:v>96</x:v>
      </x:c>
      <x:c r="B84" s="5" t="n">
        <x:v>-32020.79</x:v>
      </x:c>
      <x:c r="C84" s="5" t="n">
        <x:v>2624.21</x:v>
      </x:c>
      <x:c r="D84" s="5" t="n">
        <x:v>2666.16</x:v>
      </x:c>
      <x:c r="E84" s="5" t="n">
        <x:v>3355.39</x:v>
      </x:c>
      <x:c r="F84" s="5" t="n">
        <x:v>2357.36</x:v>
      </x:c>
      <x:c r="G84" s="5" t="n">
        <x:v>5181.57</x:v>
      </x:c>
      <x:c r="H84" s="5" t="n">
        <x:v>2780.88</x:v>
      </x:c>
      <x:c r="I84" s="5" t="n">
        <x:v>1708.94</x:v>
      </x:c>
      <x:c r="J84" s="5" t="n">
        <x:v>2357.36</x:v>
      </x:c>
      <x:c r="K84" s="5" t="n">
        <x:v>2357.36</x:v>
      </x:c>
      <x:c r="L84" s="5" t="n">
        <x:v>0</x:v>
      </x:c>
      <x:c r="M84" s="5" t="n">
        <x:v>4714.72</x:v>
      </x:c>
      <x:c r="N84" s="5">
        <x:f>+SUM(B84:M84)</x:f>
      </x:c>
    </x:row>
    <x:row r="85" spans="1:14">
      <x:c r="A85" s="10" t="s">
        <x:v>97</x:v>
      </x:c>
      <x:c r="B85" s="5" t="n">
        <x:v>329.7</x:v>
      </x:c>
      <x:c r="C85" s="5" t="n">
        <x:v>329.7</x:v>
      </x:c>
      <x:c r="D85" s="5" t="n">
        <x:v>8544.73</x:v>
      </x:c>
      <x:c r="E85" s="5" t="n">
        <x:v>7176.48</x:v>
      </x:c>
      <x:c r="F85" s="5" t="n">
        <x:v>1648.5</x:v>
      </x:c>
      <x:c r="G85" s="5" t="n">
        <x:v>2225.48</x:v>
      </x:c>
      <x:c r="H85" s="5" t="n">
        <x:v>1489.34</x:v>
      </x:c>
      <x:c r="I85" s="5" t="n">
        <x:v>329.7</x:v>
      </x:c>
      <x:c r="J85" s="5" t="n">
        <x:v>10742.96</x:v>
      </x:c>
      <x:c r="K85" s="5" t="n">
        <x:v>10223.43</x:v>
      </x:c>
      <x:c r="L85" s="5" t="n">
        <x:v>5291.7</x:v>
      </x:c>
      <x:c r="M85" s="5" t="n">
        <x:v>384.65</x:v>
      </x:c>
      <x:c r="N85" s="5">
        <x:f>+SUM(B85:M85)</x:f>
      </x:c>
    </x:row>
    <x:row r="86" spans="1:14">
      <x:c r="A86" s="10" t="s">
        <x:v>98</x:v>
      </x:c>
      <x:c r="B86" s="5" t="n">
        <x:v>0</x:v>
      </x:c>
      <x:c r="C86" s="5" t="n">
        <x:v>0</x:v>
      </x:c>
      <x:c r="D86" s="5" t="n">
        <x:v>235.19</x:v>
      </x:c>
      <x:c r="E86" s="5" t="n">
        <x:v>0</x:v>
      </x:c>
      <x:c r="F86" s="5" t="n">
        <x:v>0</x:v>
      </x:c>
      <x:c r="G86" s="5" t="n">
        <x:v>0</x:v>
      </x:c>
      <x:c r="H86" s="5" t="n">
        <x:v>0</x:v>
      </x:c>
      <x:c r="I86" s="5" t="n">
        <x:v>0</x:v>
      </x:c>
      <x:c r="J86" s="5" t="n">
        <x:v>0</x:v>
      </x:c>
      <x:c r="K86" s="5" t="n">
        <x:v>0</x:v>
      </x:c>
      <x:c r="L86" s="5" t="n">
        <x:v>0</x:v>
      </x:c>
      <x:c r="M86" s="5" t="n">
        <x:v>0</x:v>
      </x:c>
      <x:c r="N86" s="5">
        <x:f>+SUM(B86:M86)</x:f>
      </x:c>
    </x:row>
    <x:row r="87" spans="1:14">
      <x:c r="A87" s="10" t="s">
        <x:v>99</x:v>
      </x:c>
      <x:c r="B87" s="5" t="n">
        <x:v>1499.48</x:v>
      </x:c>
      <x:c r="C87" s="5" t="n">
        <x:v>283.44</x:v>
      </x:c>
      <x:c r="D87" s="5" t="n">
        <x:v>847.68</x:v>
      </x:c>
      <x:c r="E87" s="5" t="n">
        <x:v>1780.28</x:v>
      </x:c>
      <x:c r="F87" s="5" t="n">
        <x:v>219.25</x:v>
      </x:c>
      <x:c r="G87" s="5" t="n">
        <x:v>64.19</x:v>
      </x:c>
      <x:c r="H87" s="5" t="n">
        <x:v>1780.28</x:v>
      </x:c>
      <x:c r="I87" s="5" t="n">
        <x:v>2803.25</x:v>
      </x:c>
      <x:c r="J87" s="5" t="n">
        <x:v>283.44</x:v>
      </x:c>
      <x:c r="K87" s="5" t="n">
        <x:v>1341.78</x:v>
      </x:c>
      <x:c r="L87" s="5" t="n">
        <x:v>1952.29</x:v>
      </x:c>
      <x:c r="M87" s="5" t="n">
        <x:v>558.74</x:v>
      </x:c>
      <x:c r="N87" s="5">
        <x:f>+SUM(B87:M87)</x:f>
      </x:c>
    </x:row>
    <x:row r="88" spans="1:14">
      <x:c r="A88" s="10" t="s">
        <x:v>100</x:v>
      </x:c>
      <x:c r="B88" s="5" t="n">
        <x:v>0</x:v>
      </x:c>
      <x:c r="C88" s="5" t="n">
        <x:v>0</x:v>
      </x:c>
      <x:c r="D88" s="5" t="n">
        <x:v>0</x:v>
      </x:c>
      <x:c r="E88" s="5" t="n">
        <x:v>0</x:v>
      </x:c>
      <x:c r="F88" s="5" t="n">
        <x:v>0</x:v>
      </x:c>
      <x:c r="G88" s="5" t="n">
        <x:v>0</x:v>
      </x:c>
      <x:c r="H88" s="5" t="n">
        <x:v>0</x:v>
      </x:c>
      <x:c r="I88" s="5" t="n">
        <x:v>0</x:v>
      </x:c>
      <x:c r="J88" s="5" t="n">
        <x:v>0</x:v>
      </x:c>
      <x:c r="K88" s="5" t="n">
        <x:v>0</x:v>
      </x:c>
      <x:c r="L88" s="5" t="n">
        <x:v>0</x:v>
      </x:c>
      <x:c r="M88" s="5" t="n">
        <x:v>0</x:v>
      </x:c>
      <x:c r="N88" s="5">
        <x:f>+SUM(B88:M88)</x:f>
      </x:c>
    </x:row>
    <x:row r="89" spans="1:14">
      <x:c r="A89" s="10" t="s">
        <x:v>101</x:v>
      </x:c>
      <x:c r="B89" s="5" t="n">
        <x:v>540.78</x:v>
      </x:c>
      <x:c r="C89" s="5" t="n">
        <x:v>400.46</x:v>
      </x:c>
      <x:c r="D89" s="5" t="n">
        <x:v>1590.06</x:v>
      </x:c>
      <x:c r="E89" s="5" t="n">
        <x:v>985.8</x:v>
      </x:c>
      <x:c r="F89" s="5" t="n">
        <x:v>1120.78</x:v>
      </x:c>
      <x:c r="G89" s="5" t="n">
        <x:v>424.67</x:v>
      </x:c>
      <x:c r="H89" s="5" t="n">
        <x:v>773</x:v>
      </x:c>
      <x:c r="I89" s="5" t="n">
        <x:v>905.19</x:v>
      </x:c>
      <x:c r="J89" s="5" t="n">
        <x:v>770.19</x:v>
      </x:c>
      <x:c r="K89" s="5" t="n">
        <x:v>756.65</x:v>
      </x:c>
      <x:c r="L89" s="5" t="n">
        <x:v>748.45</x:v>
      </x:c>
      <x:c r="M89" s="5" t="n">
        <x:v>-821.61</x:v>
      </x:c>
      <x:c r="N89" s="5">
        <x:f>+SUM(B89:M89)</x:f>
      </x:c>
    </x:row>
    <x:row r="90" spans="1:14">
      <x:c r="A90" s="10" t="s">
        <x:v>102</x:v>
      </x:c>
      <x:c r="B90" s="5" t="n">
        <x:v>0</x:v>
      </x:c>
      <x:c r="C90" s="5" t="n">
        <x:v>0</x:v>
      </x:c>
      <x:c r="D90" s="5" t="n">
        <x:v>0</x:v>
      </x:c>
      <x:c r="E90" s="5" t="n">
        <x:v>0</x:v>
      </x:c>
      <x:c r="F90" s="5" t="n">
        <x:v>0</x:v>
      </x:c>
      <x:c r="G90" s="5" t="n">
        <x:v>0</x:v>
      </x:c>
      <x:c r="H90" s="5" t="n">
        <x:v>252.77</x:v>
      </x:c>
      <x:c r="I90" s="5" t="n">
        <x:v>50.73</x:v>
      </x:c>
      <x:c r="J90" s="5" t="n">
        <x:v>0</x:v>
      </x:c>
      <x:c r="K90" s="5" t="n">
        <x:v>78.82</x:v>
      </x:c>
      <x:c r="L90" s="5" t="n">
        <x:v>1160.25</x:v>
      </x:c>
      <x:c r="M90" s="5" t="n">
        <x:v>0</x:v>
      </x:c>
      <x:c r="N90" s="5">
        <x:f>+SUM(B90:M90)</x:f>
      </x:c>
    </x:row>
    <x:row r="91" spans="1:14">
      <x:c r="A91" s="10" t="s">
        <x:v>103</x:v>
      </x:c>
      <x:c r="B91" s="5" t="n">
        <x:v>8914.47</x:v>
      </x:c>
      <x:c r="C91" s="5" t="n">
        <x:v>8843.53</x:v>
      </x:c>
      <x:c r="D91" s="5" t="n">
        <x:v>7251.51</x:v>
      </x:c>
      <x:c r="E91" s="5" t="n">
        <x:v>10400.87</x:v>
      </x:c>
      <x:c r="F91" s="5" t="n">
        <x:v>1969.5</x:v>
      </x:c>
      <x:c r="G91" s="5" t="n">
        <x:v>5425.08</x:v>
      </x:c>
      <x:c r="H91" s="5" t="n">
        <x:v>909.75</x:v>
      </x:c>
      <x:c r="I91" s="5" t="n">
        <x:v>920.71</x:v>
      </x:c>
      <x:c r="J91" s="5" t="n">
        <x:v>7688.65</x:v>
      </x:c>
      <x:c r="K91" s="5" t="n">
        <x:v>7311.06</x:v>
      </x:c>
      <x:c r="L91" s="5" t="n">
        <x:v>5893.07</x:v>
      </x:c>
      <x:c r="M91" s="5" t="n">
        <x:v>9084.93</x:v>
      </x:c>
      <x:c r="N91" s="5">
        <x:f>+SUM(B91:M91)</x:f>
      </x:c>
    </x:row>
    <x:row r="92" spans="1:14">
      <x:c r="A92" s="11" t="s">
        <x:v>104</x:v>
      </x:c>
      <x:c r="B92" s="5" t="n">
        <x:v>-14575.18</x:v>
      </x:c>
      <x:c r="C92" s="5" t="n">
        <x:v>16750.81</x:v>
      </x:c>
      <x:c r="D92" s="5" t="n">
        <x:v>26245.08</x:v>
      </x:c>
      <x:c r="E92" s="5" t="n">
        <x:v>36317.51</x:v>
      </x:c>
      <x:c r="F92" s="5" t="n">
        <x:v>12820.35</x:v>
      </x:c>
      <x:c r="G92" s="5" t="n">
        <x:v>18399.05</x:v>
      </x:c>
      <x:c r="H92" s="5" t="n">
        <x:v>14593.29</x:v>
      </x:c>
      <x:c r="I92" s="5" t="n">
        <x:v>12920.75</x:v>
      </x:c>
      <x:c r="J92" s="5" t="n">
        <x:v>25904.7</x:v>
      </x:c>
      <x:c r="K92" s="5" t="n">
        <x:v>23782.24</x:v>
      </x:c>
      <x:c r="L92" s="5" t="n">
        <x:v>19240.23</x:v>
      </x:c>
      <x:c r="M92" s="5" t="n">
        <x:v>21882.39</x:v>
      </x:c>
      <x:c r="N92" s="5">
        <x:f>+SUM(B92:M92)</x:f>
      </x:c>
    </x:row>
    <x:row r="93" spans="1:14">
      <x:c r="A93" s="9" t="s">
        <x:v>105</x:v>
      </x:c>
      <x:c r="B93" s="5" t="s"/>
      <x:c r="C93" s="5" t="s"/>
      <x:c r="D93" s="5" t="s"/>
      <x:c r="E93" s="5" t="s"/>
      <x:c r="F93" s="5" t="s"/>
      <x:c r="G93" s="5" t="s"/>
      <x:c r="H93" s="5" t="s"/>
      <x:c r="I93" s="5" t="s"/>
      <x:c r="J93" s="5" t="s"/>
      <x:c r="K93" s="5" t="s"/>
      <x:c r="L93" s="5" t="s"/>
      <x:c r="M93" s="5" t="s"/>
      <x:c r="N93" s="5" t="s"/>
    </x:row>
    <x:row r="94" spans="1:14">
      <x:c r="A94" s="10" t="s">
        <x:v>106</x:v>
      </x:c>
      <x:c r="B94" s="5" t="n">
        <x:v>1975.33</x:v>
      </x:c>
      <x:c r="C94" s="5" t="n">
        <x:v>6415.74</x:v>
      </x:c>
      <x:c r="D94" s="5" t="n">
        <x:v>3182.34</x:v>
      </x:c>
      <x:c r="E94" s="5" t="n">
        <x:v>3028.11</x:v>
      </x:c>
      <x:c r="F94" s="5" t="n">
        <x:v>2107.16</x:v>
      </x:c>
      <x:c r="G94" s="5" t="n">
        <x:v>1927.61</x:v>
      </x:c>
      <x:c r="H94" s="5" t="n">
        <x:v>2373.32</x:v>
      </x:c>
      <x:c r="I94" s="5" t="n">
        <x:v>2255.8</x:v>
      </x:c>
      <x:c r="J94" s="5" t="n">
        <x:v>3044.39</x:v>
      </x:c>
      <x:c r="K94" s="5" t="n">
        <x:v>1654.24</x:v>
      </x:c>
      <x:c r="L94" s="5" t="n">
        <x:v>2332.55</x:v>
      </x:c>
      <x:c r="M94" s="5" t="n">
        <x:v>2670.08</x:v>
      </x:c>
      <x:c r="N94" s="5">
        <x:f>+SUM(B94:M94)</x:f>
      </x:c>
    </x:row>
    <x:row r="95" spans="1:14">
      <x:c r="A95" s="10" t="s">
        <x:v>107</x:v>
      </x:c>
      <x:c r="B95" s="5" t="n">
        <x:v>4079.03</x:v>
      </x:c>
      <x:c r="C95" s="5" t="n">
        <x:v>2061.92</x:v>
      </x:c>
      <x:c r="D95" s="5" t="n">
        <x:v>59.76</x:v>
      </x:c>
      <x:c r="E95" s="5" t="n">
        <x:v>700</x:v>
      </x:c>
      <x:c r="F95" s="5" t="n">
        <x:v>700</x:v>
      </x:c>
      <x:c r="G95" s="5" t="n">
        <x:v>2835.22</x:v>
      </x:c>
      <x:c r="H95" s="5" t="n">
        <x:v>2524.66</x:v>
      </x:c>
      <x:c r="I95" s="5" t="n">
        <x:v>3083.62</x:v>
      </x:c>
      <x:c r="J95" s="5" t="n">
        <x:v>2489.68</x:v>
      </x:c>
      <x:c r="K95" s="5" t="n">
        <x:v>2827.81</x:v>
      </x:c>
      <x:c r="L95" s="5" t="n">
        <x:v>2407.24</x:v>
      </x:c>
      <x:c r="M95" s="5" t="n">
        <x:v>700</x:v>
      </x:c>
      <x:c r="N95" s="5">
        <x:f>+SUM(B95:M95)</x:f>
      </x:c>
    </x:row>
    <x:row r="96" spans="1:14">
      <x:c r="A96" s="10" t="s">
        <x:v>108</x:v>
      </x:c>
      <x:c r="B96" s="5" t="n">
        <x:v>39589.14</x:v>
      </x:c>
      <x:c r="C96" s="5" t="n">
        <x:v>33003.67</x:v>
      </x:c>
      <x:c r="D96" s="5" t="n">
        <x:v>23348.36</x:v>
      </x:c>
      <x:c r="E96" s="5" t="n">
        <x:v>11269.89</x:v>
      </x:c>
      <x:c r="F96" s="5" t="n">
        <x:v>20728.78</x:v>
      </x:c>
      <x:c r="G96" s="5" t="n">
        <x:v>24263.9</x:v>
      </x:c>
      <x:c r="H96" s="5" t="n">
        <x:v>19984.78</x:v>
      </x:c>
      <x:c r="I96" s="5" t="n">
        <x:v>19671.97</x:v>
      </x:c>
      <x:c r="J96" s="5" t="n">
        <x:v>14814.54</x:v>
      </x:c>
      <x:c r="K96" s="5" t="n">
        <x:v>27479.54</x:v>
      </x:c>
      <x:c r="L96" s="5" t="n">
        <x:v>24194.87</x:v>
      </x:c>
      <x:c r="M96" s="5" t="n">
        <x:v>28375.45</x:v>
      </x:c>
      <x:c r="N96" s="5">
        <x:f>+SUM(B96:M96)</x:f>
      </x:c>
    </x:row>
    <x:row r="97" spans="1:14">
      <x:c r="A97" s="10" t="s">
        <x:v>109</x:v>
      </x:c>
      <x:c r="B97" s="5" t="n">
        <x:v>271.25</x:v>
      </x:c>
      <x:c r="C97" s="5" t="n">
        <x:v>0</x:v>
      </x:c>
      <x:c r="D97" s="5" t="n">
        <x:v>279.1</x:v>
      </x:c>
      <x:c r="E97" s="5" t="n">
        <x:v>296.25</x:v>
      </x:c>
      <x:c r="F97" s="5" t="n">
        <x:v>0</x:v>
      </x:c>
      <x:c r="G97" s="5" t="n">
        <x:v>682.44</x:v>
      </x:c>
      <x:c r="H97" s="5" t="n">
        <x:v>300.69</x:v>
      </x:c>
      <x:c r="I97" s="5" t="n">
        <x:v>650.76</x:v>
      </x:c>
      <x:c r="J97" s="5" t="n">
        <x:v>354.27</x:v>
      </x:c>
      <x:c r="K97" s="5" t="n">
        <x:v>354.27</x:v>
      </x:c>
      <x:c r="L97" s="5" t="n">
        <x:v>354.27</x:v>
      </x:c>
      <x:c r="M97" s="5" t="n">
        <x:v>264.27</x:v>
      </x:c>
      <x:c r="N97" s="5">
        <x:f>+SUM(B97:M97)</x:f>
      </x:c>
    </x:row>
    <x:row r="98" spans="1:14">
      <x:c r="A98" s="11" t="s">
        <x:v>110</x:v>
      </x:c>
      <x:c r="B98" s="5" t="n">
        <x:v>45914.75</x:v>
      </x:c>
      <x:c r="C98" s="5" t="n">
        <x:v>41481.33</x:v>
      </x:c>
      <x:c r="D98" s="5" t="n">
        <x:v>26869.56</x:v>
      </x:c>
      <x:c r="E98" s="5" t="n">
        <x:v>15294.25</x:v>
      </x:c>
      <x:c r="F98" s="5" t="n">
        <x:v>23535.94</x:v>
      </x:c>
      <x:c r="G98" s="5" t="n">
        <x:v>29709.17</x:v>
      </x:c>
      <x:c r="H98" s="5" t="n">
        <x:v>25183.45</x:v>
      </x:c>
      <x:c r="I98" s="5" t="n">
        <x:v>25662.15</x:v>
      </x:c>
      <x:c r="J98" s="5" t="n">
        <x:v>20702.88</x:v>
      </x:c>
      <x:c r="K98" s="5" t="n">
        <x:v>32315.86</x:v>
      </x:c>
      <x:c r="L98" s="5" t="n">
        <x:v>29288.93</x:v>
      </x:c>
      <x:c r="M98" s="5" t="n">
        <x:v>32009.8</x:v>
      </x:c>
      <x:c r="N98" s="5">
        <x:f>+SUM(B98:M98)</x:f>
      </x:c>
    </x:row>
    <x:row r="99" spans="1:14">
      <x:c r="A99" s="9" t="s">
        <x:v>111</x:v>
      </x:c>
      <x:c r="B99" s="5" t="s"/>
      <x:c r="C99" s="5" t="s"/>
      <x:c r="D99" s="5" t="s"/>
      <x:c r="E99" s="5" t="s"/>
      <x:c r="F99" s="5" t="s"/>
      <x:c r="G99" s="5" t="s"/>
      <x:c r="H99" s="5" t="s"/>
      <x:c r="I99" s="5" t="s"/>
      <x:c r="J99" s="5" t="s"/>
      <x:c r="K99" s="5" t="s"/>
      <x:c r="L99" s="5" t="s"/>
      <x:c r="M99" s="5" t="s"/>
      <x:c r="N99" s="5" t="s"/>
    </x:row>
    <x:row r="100" spans="1:14">
      <x:c r="A100" s="10" t="s">
        <x:v>112</x:v>
      </x:c>
      <x:c r="B100" s="5" t="n">
        <x:v>0</x:v>
      </x:c>
      <x:c r="C100" s="5" t="n">
        <x:v>0</x:v>
      </x:c>
      <x:c r="D100" s="5" t="n">
        <x:v>5165.3</x:v>
      </x:c>
      <x:c r="E100" s="5" t="n">
        <x:v>0</x:v>
      </x:c>
      <x:c r="F100" s="5" t="n">
        <x:v>0</x:v>
      </x:c>
      <x:c r="G100" s="5" t="n">
        <x:v>32.97</x:v>
      </x:c>
      <x:c r="H100" s="5" t="n">
        <x:v>0</x:v>
      </x:c>
      <x:c r="I100" s="5" t="n">
        <x:v>0</x:v>
      </x:c>
      <x:c r="J100" s="5" t="n">
        <x:v>0</x:v>
      </x:c>
      <x:c r="K100" s="5" t="n">
        <x:v>0</x:v>
      </x:c>
      <x:c r="L100" s="5" t="n">
        <x:v>0</x:v>
      </x:c>
      <x:c r="M100" s="5" t="n">
        <x:v>0</x:v>
      </x:c>
      <x:c r="N100" s="5">
        <x:f>+SUM(B100:M100)</x:f>
      </x:c>
    </x:row>
    <x:row r="101" spans="1:14">
      <x:c r="A101" s="10" t="s">
        <x:v>113</x:v>
      </x:c>
      <x:c r="B101" s="5" t="n">
        <x:v>0</x:v>
      </x:c>
      <x:c r="C101" s="5" t="n">
        <x:v>0</x:v>
      </x:c>
      <x:c r="D101" s="5" t="n">
        <x:v>0</x:v>
      </x:c>
      <x:c r="E101" s="5" t="n">
        <x:v>0</x:v>
      </x:c>
      <x:c r="F101" s="5" t="n">
        <x:v>0</x:v>
      </x:c>
      <x:c r="G101" s="5" t="n">
        <x:v>0</x:v>
      </x:c>
      <x:c r="H101" s="5" t="n">
        <x:v>20.96</x:v>
      </x:c>
      <x:c r="I101" s="5" t="n">
        <x:v>151.73</x:v>
      </x:c>
      <x:c r="J101" s="5" t="n">
        <x:v>0</x:v>
      </x:c>
      <x:c r="K101" s="5" t="n">
        <x:v>2000</x:v>
      </x:c>
      <x:c r="L101" s="5" t="n">
        <x:v>894.07</x:v>
      </x:c>
      <x:c r="M101" s="5" t="n">
        <x:v>168.34</x:v>
      </x:c>
      <x:c r="N101" s="5">
        <x:f>+SUM(B101:M101)</x:f>
      </x:c>
    </x:row>
    <x:row r="102" spans="1:14">
      <x:c r="A102" s="10" t="s">
        <x:v>114</x:v>
      </x:c>
      <x:c r="B102" s="5" t="n">
        <x:v>6145.22</x:v>
      </x:c>
      <x:c r="C102" s="5" t="n">
        <x:v>4462.87</x:v>
      </x:c>
      <x:c r="D102" s="5" t="n">
        <x:v>7748.04</x:v>
      </x:c>
      <x:c r="E102" s="5" t="n">
        <x:v>4742.46</x:v>
      </x:c>
      <x:c r="F102" s="5" t="n">
        <x:v>5021.17</x:v>
      </x:c>
      <x:c r="G102" s="5" t="n">
        <x:v>6291.05</x:v>
      </x:c>
      <x:c r="H102" s="5" t="n">
        <x:v>2929.53</x:v>
      </x:c>
      <x:c r="I102" s="5" t="n">
        <x:v>3480.62</x:v>
      </x:c>
      <x:c r="J102" s="5" t="n">
        <x:v>4901.44</x:v>
      </x:c>
      <x:c r="K102" s="5" t="n">
        <x:v>7796.69</x:v>
      </x:c>
      <x:c r="L102" s="5" t="n">
        <x:v>5273.63</x:v>
      </x:c>
      <x:c r="M102" s="5" t="n">
        <x:v>4173.15</x:v>
      </x:c>
      <x:c r="N102" s="5">
        <x:f>+SUM(B102:M102)</x:f>
      </x:c>
    </x:row>
    <x:row r="103" spans="1:14">
      <x:c r="A103" s="11" t="s">
        <x:v>115</x:v>
      </x:c>
      <x:c r="B103" s="5" t="n">
        <x:v>6145.22</x:v>
      </x:c>
      <x:c r="C103" s="5" t="n">
        <x:v>4462.87</x:v>
      </x:c>
      <x:c r="D103" s="5" t="n">
        <x:v>12913.34</x:v>
      </x:c>
      <x:c r="E103" s="5" t="n">
        <x:v>4742.46</x:v>
      </x:c>
      <x:c r="F103" s="5" t="n">
        <x:v>5021.17</x:v>
      </x:c>
      <x:c r="G103" s="5" t="n">
        <x:v>6324.02</x:v>
      </x:c>
      <x:c r="H103" s="5" t="n">
        <x:v>2950.49</x:v>
      </x:c>
      <x:c r="I103" s="5" t="n">
        <x:v>3632.35</x:v>
      </x:c>
      <x:c r="J103" s="5" t="n">
        <x:v>4901.44</x:v>
      </x:c>
      <x:c r="K103" s="5" t="n">
        <x:v>9796.69</x:v>
      </x:c>
      <x:c r="L103" s="5" t="n">
        <x:v>6167.7</x:v>
      </x:c>
      <x:c r="M103" s="5" t="n">
        <x:v>4341.49</x:v>
      </x:c>
      <x:c r="N103" s="5">
        <x:f>+SUM(B103:M103)</x:f>
      </x:c>
    </x:row>
    <x:row r="104" spans="1:14">
      <x:c r="A104" s="9" t="s">
        <x:v>116</x:v>
      </x:c>
      <x:c r="B104" s="5" t="s"/>
      <x:c r="C104" s="5" t="s"/>
      <x:c r="D104" s="5" t="s"/>
      <x:c r="E104" s="5" t="s"/>
      <x:c r="F104" s="5" t="s"/>
      <x:c r="G104" s="5" t="s"/>
      <x:c r="H104" s="5" t="s"/>
      <x:c r="I104" s="5" t="s"/>
      <x:c r="J104" s="5" t="s"/>
      <x:c r="K104" s="5" t="s"/>
      <x:c r="L104" s="5" t="s"/>
      <x:c r="M104" s="5" t="s"/>
      <x:c r="N104" s="5" t="s"/>
    </x:row>
    <x:row r="105" spans="1:14">
      <x:c r="A105" s="10" t="s">
        <x:v>117</x:v>
      </x:c>
      <x:c r="B105" s="5" t="n">
        <x:v>898.34</x:v>
      </x:c>
      <x:c r="C105" s="5" t="n">
        <x:v>20.22</x:v>
      </x:c>
      <x:c r="D105" s="5" t="n">
        <x:v>869.41</x:v>
      </x:c>
      <x:c r="E105" s="5" t="n">
        <x:v>-17.13</x:v>
      </x:c>
      <x:c r="F105" s="5" t="n">
        <x:v>768.49</x:v>
      </x:c>
      <x:c r="G105" s="5" t="n">
        <x:v>-235.41</x:v>
      </x:c>
      <x:c r="H105" s="5" t="n">
        <x:v>1268.84</x:v>
      </x:c>
      <x:c r="I105" s="5" t="n">
        <x:v>-123.61</x:v>
      </x:c>
      <x:c r="J105" s="5" t="n">
        <x:v>612.63</x:v>
      </x:c>
      <x:c r="K105" s="5" t="n">
        <x:v>65</x:v>
      </x:c>
      <x:c r="L105" s="5" t="n">
        <x:v>803.05</x:v>
      </x:c>
      <x:c r="M105" s="5" t="n">
        <x:v>757.38</x:v>
      </x:c>
      <x:c r="N105" s="5">
        <x:f>+SUM(B105:M105)</x:f>
      </x:c>
    </x:row>
    <x:row r="106" spans="1:14">
      <x:c r="A106" s="10" t="s">
        <x:v>118</x:v>
      </x:c>
      <x:c r="B106" s="5" t="n">
        <x:v>75</x:v>
      </x:c>
      <x:c r="C106" s="5" t="n">
        <x:v>350</x:v>
      </x:c>
      <x:c r="D106" s="5" t="n">
        <x:v>125</x:v>
      </x:c>
      <x:c r="E106" s="5" t="n">
        <x:v>0</x:v>
      </x:c>
      <x:c r="F106" s="5" t="n">
        <x:v>245</x:v>
      </x:c>
      <x:c r="G106" s="5" t="n">
        <x:v>302.75</x:v>
      </x:c>
      <x:c r="H106" s="5" t="n">
        <x:v>124.25</x:v>
      </x:c>
      <x:c r="I106" s="5" t="n">
        <x:v>54.25</x:v>
      </x:c>
      <x:c r="J106" s="5" t="n">
        <x:v>54.25</x:v>
      </x:c>
      <x:c r="K106" s="5" t="n">
        <x:v>159.25</x:v>
      </x:c>
      <x:c r="L106" s="5" t="n">
        <x:v>89.25</x:v>
      </x:c>
      <x:c r="M106" s="5" t="n">
        <x:v>54.25</x:v>
      </x:c>
      <x:c r="N106" s="5">
        <x:f>+SUM(B106:M106)</x:f>
      </x:c>
    </x:row>
    <x:row r="107" spans="1:14">
      <x:c r="A107" s="10" t="s">
        <x:v>119</x:v>
      </x:c>
      <x:c r="B107" s="5" t="n">
        <x:v>510.87</x:v>
      </x:c>
      <x:c r="C107" s="5" t="n">
        <x:v>510.87</x:v>
      </x:c>
      <x:c r="D107" s="5" t="n">
        <x:v>510.87</x:v>
      </x:c>
      <x:c r="E107" s="5" t="n">
        <x:v>510.87</x:v>
      </x:c>
      <x:c r="F107" s="5" t="n">
        <x:v>146.31</x:v>
      </x:c>
      <x:c r="G107" s="5" t="n">
        <x:v>450.11</x:v>
      </x:c>
      <x:c r="H107" s="5" t="n">
        <x:v>146.31</x:v>
      </x:c>
      <x:c r="I107" s="5" t="n">
        <x:v>774.32</x:v>
      </x:c>
      <x:c r="J107" s="5" t="n">
        <x:v>1100.56</x:v>
      </x:c>
      <x:c r="K107" s="5" t="n">
        <x:v>489.65</x:v>
      </x:c>
      <x:c r="L107" s="5" t="n">
        <x:v>987.31</x:v>
      </x:c>
      <x:c r="M107" s="5" t="n">
        <x:v>844.81</x:v>
      </x:c>
      <x:c r="N107" s="5">
        <x:f>+SUM(B107:M107)</x:f>
      </x:c>
    </x:row>
    <x:row r="108" spans="1:14">
      <x:c r="A108" s="10" t="s">
        <x:v>120</x:v>
      </x:c>
      <x:c r="B108" s="5" t="n">
        <x:v>7545.51</x:v>
      </x:c>
      <x:c r="C108" s="5" t="n">
        <x:v>0</x:v>
      </x:c>
      <x:c r="D108" s="5" t="n">
        <x:v>2391.4</x:v>
      </x:c>
      <x:c r="E108" s="5" t="n">
        <x:v>3371.72</x:v>
      </x:c>
      <x:c r="F108" s="5" t="n">
        <x:v>2200</x:v>
      </x:c>
      <x:c r="G108" s="5" t="n">
        <x:v>1516.25</x:v>
      </x:c>
      <x:c r="H108" s="5" t="n">
        <x:v>2200</x:v>
      </x:c>
      <x:c r="I108" s="5" t="n">
        <x:v>-2200</x:v>
      </x:c>
      <x:c r="J108" s="5" t="n">
        <x:v>0</x:v>
      </x:c>
      <x:c r="K108" s="5" t="n">
        <x:v>1067.32</x:v>
      </x:c>
      <x:c r="L108" s="5" t="n">
        <x:v>16050.83</x:v>
      </x:c>
      <x:c r="M108" s="5" t="n">
        <x:v>0</x:v>
      </x:c>
      <x:c r="N108" s="5">
        <x:f>+SUM(B108:M108)</x:f>
      </x:c>
    </x:row>
    <x:row r="109" spans="1:14">
      <x:c r="A109" s="10" t="s">
        <x:v>121</x:v>
      </x:c>
      <x:c r="B109" s="5" t="n">
        <x:v>92.9</x:v>
      </x:c>
      <x:c r="C109" s="5" t="n">
        <x:v>107.14</x:v>
      </x:c>
      <x:c r="D109" s="5" t="n">
        <x:v>54.8</x:v>
      </x:c>
      <x:c r="E109" s="5" t="n">
        <x:v>418.66</x:v>
      </x:c>
      <x:c r="F109" s="5" t="n">
        <x:v>2500</x:v>
      </x:c>
      <x:c r="G109" s="5" t="n">
        <x:v>2633.7</x:v>
      </x:c>
      <x:c r="H109" s="5" t="n">
        <x:v>169.08</x:v>
      </x:c>
      <x:c r="I109" s="5" t="n">
        <x:v>56.98</x:v>
      </x:c>
      <x:c r="J109" s="5" t="n">
        <x:v>49.58</x:v>
      </x:c>
      <x:c r="K109" s="5" t="n">
        <x:v>107.81</x:v>
      </x:c>
      <x:c r="L109" s="5" t="n">
        <x:v>182.93</x:v>
      </x:c>
      <x:c r="M109" s="5" t="n">
        <x:v>0</x:v>
      </x:c>
      <x:c r="N109" s="5">
        <x:f>+SUM(B109:M109)</x:f>
      </x:c>
    </x:row>
    <x:row r="110" spans="1:14">
      <x:c r="A110" s="10" t="s">
        <x:v>122</x:v>
      </x:c>
      <x:c r="B110" s="5" t="n">
        <x:v>285.65</x:v>
      </x:c>
      <x:c r="C110" s="5" t="n">
        <x:v>95.46</x:v>
      </x:c>
      <x:c r="D110" s="5" t="n">
        <x:v>361.57</x:v>
      </x:c>
      <x:c r="E110" s="5" t="n">
        <x:v>356.78</x:v>
      </x:c>
      <x:c r="F110" s="5" t="n">
        <x:v>194.88</x:v>
      </x:c>
      <x:c r="G110" s="5" t="n">
        <x:v>401.61</x:v>
      </x:c>
      <x:c r="H110" s="5" t="n">
        <x:v>261.4</x:v>
      </x:c>
      <x:c r="I110" s="5" t="n">
        <x:v>108.02</x:v>
      </x:c>
      <x:c r="J110" s="5" t="n">
        <x:v>612.77</x:v>
      </x:c>
      <x:c r="K110" s="5" t="n">
        <x:v>371.51</x:v>
      </x:c>
      <x:c r="L110" s="5" t="n">
        <x:v>235.55</x:v>
      </x:c>
      <x:c r="M110" s="5" t="n">
        <x:v>388.78</x:v>
      </x:c>
      <x:c r="N110" s="5">
        <x:f>+SUM(B110:M110)</x:f>
      </x:c>
    </x:row>
    <x:row r="111" spans="1:14">
      <x:c r="A111" s="10" t="s">
        <x:v>123</x:v>
      </x:c>
      <x:c r="B111" s="5" t="n">
        <x:v>996.24</x:v>
      </x:c>
      <x:c r="C111" s="5" t="n">
        <x:v>1125.97</x:v>
      </x:c>
      <x:c r="D111" s="5" t="n">
        <x:v>894.99</x:v>
      </x:c>
      <x:c r="E111" s="5" t="n">
        <x:v>1275.61</x:v>
      </x:c>
      <x:c r="F111" s="5" t="n">
        <x:v>1296.02</x:v>
      </x:c>
      <x:c r="G111" s="5" t="n">
        <x:v>2108.26</x:v>
      </x:c>
      <x:c r="H111" s="5" t="n">
        <x:v>1115.84</x:v>
      </x:c>
      <x:c r="I111" s="5" t="n">
        <x:v>48.33</x:v>
      </x:c>
      <x:c r="J111" s="5" t="n">
        <x:v>964.08</x:v>
      </x:c>
      <x:c r="K111" s="5" t="n">
        <x:v>992.37</x:v>
      </x:c>
      <x:c r="L111" s="5" t="n">
        <x:v>1377.04</x:v>
      </x:c>
      <x:c r="M111" s="5" t="n">
        <x:v>666.04</x:v>
      </x:c>
      <x:c r="N111" s="5">
        <x:f>+SUM(B111:M111)</x:f>
      </x:c>
    </x:row>
    <x:row r="112" spans="1:14">
      <x:c r="A112" s="10" t="s">
        <x:v>124</x:v>
      </x:c>
      <x:c r="B112" s="5" t="n">
        <x:v>238.7</x:v>
      </x:c>
      <x:c r="C112" s="5" t="n">
        <x:v>238.7</x:v>
      </x:c>
      <x:c r="D112" s="5" t="n">
        <x:v>378.34</x:v>
      </x:c>
      <x:c r="E112" s="5" t="n">
        <x:v>238.7</x:v>
      </x:c>
      <x:c r="F112" s="5" t="n">
        <x:v>209.82</x:v>
      </x:c>
      <x:c r="G112" s="5" t="n">
        <x:v>835.95</x:v>
      </x:c>
      <x:c r="H112" s="5" t="n">
        <x:v>166.45</x:v>
      </x:c>
      <x:c r="I112" s="5" t="n">
        <x:v>310.95</x:v>
      </x:c>
      <x:c r="J112" s="5" t="n">
        <x:v>-211.7</x:v>
      </x:c>
      <x:c r="K112" s="5" t="n">
        <x:v>246.35</x:v>
      </x:c>
      <x:c r="L112" s="5" t="n">
        <x:v>246.35</x:v>
      </x:c>
      <x:c r="M112" s="5" t="n">
        <x:v>397.09</x:v>
      </x:c>
      <x:c r="N112" s="5">
        <x:f>+SUM(B112:M112)</x:f>
      </x:c>
    </x:row>
    <x:row r="113" spans="1:14">
      <x:c r="A113" s="10" t="s">
        <x:v>125</x:v>
      </x:c>
      <x:c r="B113" s="5" t="n">
        <x:v>196.33</x:v>
      </x:c>
      <x:c r="C113" s="5" t="n">
        <x:v>0</x:v>
      </x:c>
      <x:c r="D113" s="5" t="n">
        <x:v>0</x:v>
      </x:c>
      <x:c r="E113" s="5" t="n">
        <x:v>0</x:v>
      </x:c>
      <x:c r="F113" s="5" t="n">
        <x:v>0</x:v>
      </x:c>
      <x:c r="G113" s="5" t="n">
        <x:v>146.58</x:v>
      </x:c>
      <x:c r="H113" s="5" t="n">
        <x:v>0</x:v>
      </x:c>
      <x:c r="I113" s="5" t="n">
        <x:v>0</x:v>
      </x:c>
      <x:c r="J113" s="5" t="n">
        <x:v>0</x:v>
      </x:c>
      <x:c r="K113" s="5" t="n">
        <x:v>0</x:v>
      </x:c>
      <x:c r="L113" s="5" t="n">
        <x:v>0</x:v>
      </x:c>
      <x:c r="M113" s="5" t="n">
        <x:v>0</x:v>
      </x:c>
      <x:c r="N113" s="5">
        <x:f>+SUM(B113:M113)</x:f>
      </x:c>
    </x:row>
    <x:row r="114" spans="1:14">
      <x:c r="A114" s="10" t="s">
        <x:v>126</x:v>
      </x:c>
      <x:c r="B114" s="5" t="n">
        <x:v>142.85</x:v>
      </x:c>
      <x:c r="C114" s="5" t="n">
        <x:v>36.78</x:v>
      </x:c>
      <x:c r="D114" s="5" t="n">
        <x:v>0</x:v>
      </x:c>
      <x:c r="E114" s="5" t="n">
        <x:v>518.65</x:v>
      </x:c>
      <x:c r="F114" s="5" t="n">
        <x:v>0</x:v>
      </x:c>
      <x:c r="G114" s="5" t="n">
        <x:v>0</x:v>
      </x:c>
      <x:c r="H114" s="5" t="n">
        <x:v>0</x:v>
      </x:c>
      <x:c r="I114" s="5" t="n">
        <x:v>0</x:v>
      </x:c>
      <x:c r="J114" s="5" t="n">
        <x:v>0</x:v>
      </x:c>
      <x:c r="K114" s="5" t="n">
        <x:v>0</x:v>
      </x:c>
      <x:c r="L114" s="5" t="n">
        <x:v>0</x:v>
      </x:c>
      <x:c r="M114" s="5" t="n">
        <x:v>0</x:v>
      </x:c>
      <x:c r="N114" s="5">
        <x:f>+SUM(B114:M114)</x:f>
      </x:c>
    </x:row>
    <x:row r="115" spans="1:14">
      <x:c r="A115" s="10" t="s">
        <x:v>127</x:v>
      </x:c>
      <x:c r="B115" s="5" t="n">
        <x:v>575</x:v>
      </x:c>
      <x:c r="C115" s="5" t="n">
        <x:v>0</x:v>
      </x:c>
      <x:c r="D115" s="5" t="n">
        <x:v>224.17</x:v>
      </x:c>
      <x:c r="E115" s="5" t="n">
        <x:v>0</x:v>
      </x:c>
      <x:c r="F115" s="5" t="n">
        <x:v>1030.25</x:v>
      </x:c>
      <x:c r="G115" s="5" t="n">
        <x:v>-485.66</x:v>
      </x:c>
      <x:c r="H115" s="5" t="n">
        <x:v>220.38</x:v>
      </x:c>
      <x:c r="I115" s="5" t="n">
        <x:v>855.25</x:v>
      </x:c>
      <x:c r="J115" s="5" t="n">
        <x:v>149</x:v>
      </x:c>
      <x:c r="K115" s="5" t="n">
        <x:v>799.63</x:v>
      </x:c>
      <x:c r="L115" s="5" t="n">
        <x:v>825.38</x:v>
      </x:c>
      <x:c r="M115" s="5" t="n">
        <x:v>149</x:v>
      </x:c>
      <x:c r="N115" s="5">
        <x:f>+SUM(B115:M115)</x:f>
      </x:c>
    </x:row>
    <x:row r="116" spans="1:14">
      <x:c r="A116" s="11" t="s">
        <x:v>128</x:v>
      </x:c>
      <x:c r="B116" s="5" t="n">
        <x:v>11557.39</x:v>
      </x:c>
      <x:c r="C116" s="5" t="n">
        <x:v>2485.14</x:v>
      </x:c>
      <x:c r="D116" s="5" t="n">
        <x:v>5810.55</x:v>
      </x:c>
      <x:c r="E116" s="5" t="n">
        <x:v>6673.86</x:v>
      </x:c>
      <x:c r="F116" s="5" t="n">
        <x:v>8590.77</x:v>
      </x:c>
      <x:c r="G116" s="5" t="n">
        <x:v>7674.14</x:v>
      </x:c>
      <x:c r="H116" s="5" t="n">
        <x:v>5672.55</x:v>
      </x:c>
      <x:c r="I116" s="5" t="n">
        <x:v>-115.51</x:v>
      </x:c>
      <x:c r="J116" s="5" t="n">
        <x:v>3331.17</x:v>
      </x:c>
      <x:c r="K116" s="5" t="n">
        <x:v>4298.89</x:v>
      </x:c>
      <x:c r="L116" s="5" t="n">
        <x:v>20797.69</x:v>
      </x:c>
      <x:c r="M116" s="5" t="n">
        <x:v>3257.35</x:v>
      </x:c>
      <x:c r="N116" s="5">
        <x:f>+SUM(B116:M116)</x:f>
      </x:c>
    </x:row>
    <x:row r="117" spans="1:14">
      <x:c r="A117" s="9" t="s">
        <x:v>129</x:v>
      </x:c>
      <x:c r="B117" s="5" t="n">
        <x:v>154729.57</x:v>
      </x:c>
      <x:c r="C117" s="5" t="n">
        <x:v>126123.64</x:v>
      </x:c>
      <x:c r="D117" s="5" t="n">
        <x:v>156396.19</x:v>
      </x:c>
      <x:c r="E117" s="5" t="n">
        <x:v>155751.33</x:v>
      </x:c>
      <x:c r="F117" s="5" t="n">
        <x:v>112848.95</x:v>
      </x:c>
      <x:c r="G117" s="5" t="n">
        <x:v>127279.2</x:v>
      </x:c>
      <x:c r="H117" s="5" t="n">
        <x:v>101811.1</x:v>
      </x:c>
      <x:c r="I117" s="5" t="n">
        <x:v>101922.74</x:v>
      </x:c>
      <x:c r="J117" s="5" t="n">
        <x:v>114106.65</x:v>
      </x:c>
      <x:c r="K117" s="5" t="n">
        <x:v>139132.3</x:v>
      </x:c>
      <x:c r="L117" s="5" t="n">
        <x:v>144595.15</x:v>
      </x:c>
      <x:c r="M117" s="5" t="n">
        <x:v>131223.32</x:v>
      </x:c>
      <x:c r="N117" s="5">
        <x:f>+SUM(B117:M117)</x:f>
      </x:c>
    </x:row>
    <x:row r="118" spans="1:14">
      <x:c r="A118" s="8" t="s">
        <x:v>130</x:v>
      </x:c>
      <x:c r="B118" s="5" t="s"/>
      <x:c r="C118" s="5" t="s"/>
      <x:c r="D118" s="5" t="s"/>
      <x:c r="E118" s="5" t="s"/>
      <x:c r="F118" s="5" t="s"/>
      <x:c r="G118" s="5" t="s"/>
      <x:c r="H118" s="5" t="s"/>
      <x:c r="I118" s="5" t="s"/>
      <x:c r="J118" s="5" t="s"/>
      <x:c r="K118" s="5" t="s"/>
      <x:c r="L118" s="5" t="s"/>
      <x:c r="M118" s="5" t="s"/>
      <x:c r="N118" s="5" t="s"/>
    </x:row>
    <x:row r="119" spans="1:14">
      <x:c r="A119" s="9" t="s">
        <x:v>131</x:v>
      </x:c>
      <x:c r="B119" s="5" t="s"/>
      <x:c r="C119" s="5" t="s"/>
      <x:c r="D119" s="5" t="s"/>
      <x:c r="E119" s="5" t="s"/>
      <x:c r="F119" s="5" t="s"/>
      <x:c r="G119" s="5" t="s"/>
      <x:c r="H119" s="5" t="s"/>
      <x:c r="I119" s="5" t="s"/>
      <x:c r="J119" s="5" t="s"/>
      <x:c r="K119" s="5" t="s"/>
      <x:c r="L119" s="5" t="s"/>
      <x:c r="M119" s="5" t="s"/>
      <x:c r="N119" s="5" t="s"/>
    </x:row>
    <x:row r="120" spans="1:14">
      <x:c r="A120" s="10" t="s">
        <x:v>132</x:v>
      </x:c>
      <x:c r="B120" s="5" t="n">
        <x:v>11272.15</x:v>
      </x:c>
      <x:c r="C120" s="5" t="n">
        <x:v>11706.14</x:v>
      </x:c>
      <x:c r="D120" s="5" t="n">
        <x:v>12253.88</x:v>
      </x:c>
      <x:c r="E120" s="5" t="n">
        <x:v>12468.48</x:v>
      </x:c>
      <x:c r="F120" s="5" t="n">
        <x:v>12069.85</x:v>
      </x:c>
      <x:c r="G120" s="5" t="n">
        <x:v>12151.81</x:v>
      </x:c>
      <x:c r="H120" s="5" t="n">
        <x:v>11450.83</x:v>
      </x:c>
      <x:c r="I120" s="5" t="n">
        <x:v>12694.35</x:v>
      </x:c>
      <x:c r="J120" s="5" t="n">
        <x:v>11275.3</x:v>
      </x:c>
      <x:c r="K120" s="5" t="n">
        <x:v>11902.49</x:v>
      </x:c>
      <x:c r="L120" s="5" t="n">
        <x:v>13048.04</x:v>
      </x:c>
      <x:c r="M120" s="5" t="n">
        <x:v>13004.54</x:v>
      </x:c>
      <x:c r="N120" s="5">
        <x:f>+SUM(B120:M120)</x:f>
      </x:c>
    </x:row>
    <x:row r="121" spans="1:14">
      <x:c r="A121" s="11" t="s">
        <x:v>133</x:v>
      </x:c>
      <x:c r="B121" s="5" t="n">
        <x:v>11272.15</x:v>
      </x:c>
      <x:c r="C121" s="5" t="n">
        <x:v>11706.14</x:v>
      </x:c>
      <x:c r="D121" s="5" t="n">
        <x:v>12253.88</x:v>
      </x:c>
      <x:c r="E121" s="5" t="n">
        <x:v>12468.48</x:v>
      </x:c>
      <x:c r="F121" s="5" t="n">
        <x:v>12069.85</x:v>
      </x:c>
      <x:c r="G121" s="5" t="n">
        <x:v>12151.81</x:v>
      </x:c>
      <x:c r="H121" s="5" t="n">
        <x:v>11450.83</x:v>
      </x:c>
      <x:c r="I121" s="5" t="n">
        <x:v>12694.35</x:v>
      </x:c>
      <x:c r="J121" s="5" t="n">
        <x:v>11275.3</x:v>
      </x:c>
      <x:c r="K121" s="5" t="n">
        <x:v>11902.49</x:v>
      </x:c>
      <x:c r="L121" s="5" t="n">
        <x:v>13048.04</x:v>
      </x:c>
      <x:c r="M121" s="5" t="n">
        <x:v>13004.54</x:v>
      </x:c>
      <x:c r="N121" s="5">
        <x:f>+SUM(B121:M121)</x:f>
      </x:c>
    </x:row>
    <x:row r="122" spans="1:14">
      <x:c r="A122" s="9" t="s">
        <x:v>134</x:v>
      </x:c>
      <x:c r="B122" s="5" t="s"/>
      <x:c r="C122" s="5" t="s"/>
      <x:c r="D122" s="5" t="s"/>
      <x:c r="E122" s="5" t="s"/>
      <x:c r="F122" s="5" t="s"/>
      <x:c r="G122" s="5" t="s"/>
      <x:c r="H122" s="5" t="s"/>
      <x:c r="I122" s="5" t="s"/>
      <x:c r="J122" s="5" t="s"/>
      <x:c r="K122" s="5" t="s"/>
      <x:c r="L122" s="5" t="s"/>
      <x:c r="M122" s="5" t="s"/>
      <x:c r="N122" s="5" t="s"/>
    </x:row>
    <x:row r="123" spans="1:14">
      <x:c r="A123" s="10" t="s">
        <x:v>135</x:v>
      </x:c>
      <x:c r="B123" s="5" t="n">
        <x:v>0</x:v>
      </x:c>
      <x:c r="C123" s="5" t="n">
        <x:v>0</x:v>
      </x:c>
      <x:c r="D123" s="5" t="n">
        <x:v>0</x:v>
      </x:c>
      <x:c r="E123" s="5" t="n">
        <x:v>0</x:v>
      </x:c>
      <x:c r="F123" s="5" t="n">
        <x:v>0</x:v>
      </x:c>
      <x:c r="G123" s="5" t="n">
        <x:v>0</x:v>
      </x:c>
      <x:c r="H123" s="5" t="n">
        <x:v>0</x:v>
      </x:c>
      <x:c r="I123" s="5" t="n">
        <x:v>1066.34</x:v>
      </x:c>
      <x:c r="J123" s="5" t="n">
        <x:v>533.17</x:v>
      </x:c>
      <x:c r="K123" s="5" t="n">
        <x:v>-1248.42</x:v>
      </x:c>
      <x:c r="L123" s="5" t="n">
        <x:v>87.77</x:v>
      </x:c>
      <x:c r="M123" s="5" t="n">
        <x:v>87.77</x:v>
      </x:c>
      <x:c r="N123" s="5">
        <x:f>+SUM(B123:M123)</x:f>
      </x:c>
    </x:row>
    <x:row r="124" spans="1:14">
      <x:c r="A124" s="11" t="s">
        <x:v>136</x:v>
      </x:c>
      <x:c r="B124" s="5" t="n">
        <x:v>0</x:v>
      </x:c>
      <x:c r="C124" s="5" t="n">
        <x:v>0</x:v>
      </x:c>
      <x:c r="D124" s="5" t="n">
        <x:v>0</x:v>
      </x:c>
      <x:c r="E124" s="5" t="n">
        <x:v>0</x:v>
      </x:c>
      <x:c r="F124" s="5" t="n">
        <x:v>0</x:v>
      </x:c>
      <x:c r="G124" s="5" t="n">
        <x:v>0</x:v>
      </x:c>
      <x:c r="H124" s="5" t="n">
        <x:v>0</x:v>
      </x:c>
      <x:c r="I124" s="5" t="n">
        <x:v>1066.34</x:v>
      </x:c>
      <x:c r="J124" s="5" t="n">
        <x:v>533.17</x:v>
      </x:c>
      <x:c r="K124" s="5" t="n">
        <x:v>-1248.42</x:v>
      </x:c>
      <x:c r="L124" s="5" t="n">
        <x:v>87.77</x:v>
      </x:c>
      <x:c r="M124" s="5" t="n">
        <x:v>87.77</x:v>
      </x:c>
      <x:c r="N124" s="5">
        <x:f>+SUM(B124:M124)</x:f>
      </x:c>
    </x:row>
    <x:row r="125" spans="1:14">
      <x:c r="A125" s="9" t="s">
        <x:v>137</x:v>
      </x:c>
      <x:c r="B125" s="5" t="s"/>
      <x:c r="C125" s="5" t="s"/>
      <x:c r="D125" s="5" t="s"/>
      <x:c r="E125" s="5" t="s"/>
      <x:c r="F125" s="5" t="s"/>
      <x:c r="G125" s="5" t="s"/>
      <x:c r="H125" s="5" t="s"/>
      <x:c r="I125" s="5" t="s"/>
      <x:c r="J125" s="5" t="s"/>
      <x:c r="K125" s="5" t="s"/>
      <x:c r="L125" s="5" t="s"/>
      <x:c r="M125" s="5" t="s"/>
      <x:c r="N125" s="5" t="s"/>
    </x:row>
    <x:row r="126" spans="1:14">
      <x:c r="A126" s="10" t="s">
        <x:v>138</x:v>
      </x:c>
      <x:c r="B126" s="5" t="n">
        <x:v>9487.51</x:v>
      </x:c>
      <x:c r="C126" s="5" t="n">
        <x:v>9487.51</x:v>
      </x:c>
      <x:c r="D126" s="5" t="n">
        <x:v>9487.51</x:v>
      </x:c>
      <x:c r="E126" s="5" t="n">
        <x:v>9487.51</x:v>
      </x:c>
      <x:c r="F126" s="5" t="n">
        <x:v>9487.51</x:v>
      </x:c>
      <x:c r="G126" s="5" t="n">
        <x:v>9487.51</x:v>
      </x:c>
      <x:c r="H126" s="5" t="n">
        <x:v>9487.51</x:v>
      </x:c>
      <x:c r="I126" s="5" t="n">
        <x:v>9487.51</x:v>
      </x:c>
      <x:c r="J126" s="5" t="n">
        <x:v>9487.55</x:v>
      </x:c>
      <x:c r="K126" s="5" t="n">
        <x:v>8983.5</x:v>
      </x:c>
      <x:c r="L126" s="5" t="n">
        <x:v>8983.5</x:v>
      </x:c>
      <x:c r="M126" s="5" t="n">
        <x:v>8983.5</x:v>
      </x:c>
      <x:c r="N126" s="5">
        <x:f>+SUM(B126:M126)</x:f>
      </x:c>
    </x:row>
    <x:row r="127" spans="1:14">
      <x:c r="A127" s="11" t="s">
        <x:v>139</x:v>
      </x:c>
      <x:c r="B127" s="5" t="n">
        <x:v>9487.51</x:v>
      </x:c>
      <x:c r="C127" s="5" t="n">
        <x:v>9487.51</x:v>
      </x:c>
      <x:c r="D127" s="5" t="n">
        <x:v>9487.51</x:v>
      </x:c>
      <x:c r="E127" s="5" t="n">
        <x:v>9487.51</x:v>
      </x:c>
      <x:c r="F127" s="5" t="n">
        <x:v>9487.51</x:v>
      </x:c>
      <x:c r="G127" s="5" t="n">
        <x:v>9487.51</x:v>
      </x:c>
      <x:c r="H127" s="5" t="n">
        <x:v>9487.51</x:v>
      </x:c>
      <x:c r="I127" s="5" t="n">
        <x:v>9487.51</x:v>
      </x:c>
      <x:c r="J127" s="5" t="n">
        <x:v>9487.55</x:v>
      </x:c>
      <x:c r="K127" s="5" t="n">
        <x:v>8983.5</x:v>
      </x:c>
      <x:c r="L127" s="5" t="n">
        <x:v>8983.5</x:v>
      </x:c>
      <x:c r="M127" s="5" t="n">
        <x:v>8983.5</x:v>
      </x:c>
      <x:c r="N127" s="5">
        <x:f>+SUM(B127:M127)</x:f>
      </x:c>
    </x:row>
    <x:row r="128" spans="1:14">
      <x:c r="A128" s="9" t="s">
        <x:v>140</x:v>
      </x:c>
      <x:c r="B128" s="5" t="n">
        <x:v>20759.66</x:v>
      </x:c>
      <x:c r="C128" s="5" t="n">
        <x:v>21193.65</x:v>
      </x:c>
      <x:c r="D128" s="5" t="n">
        <x:v>21741.39</x:v>
      </x:c>
      <x:c r="E128" s="5" t="n">
        <x:v>21955.99</x:v>
      </x:c>
      <x:c r="F128" s="5" t="n">
        <x:v>21557.36</x:v>
      </x:c>
      <x:c r="G128" s="5" t="n">
        <x:v>21639.32</x:v>
      </x:c>
      <x:c r="H128" s="5" t="n">
        <x:v>20938.34</x:v>
      </x:c>
      <x:c r="I128" s="5" t="n">
        <x:v>23248.2</x:v>
      </x:c>
      <x:c r="J128" s="5" t="n">
        <x:v>21296.02</x:v>
      </x:c>
      <x:c r="K128" s="5" t="n">
        <x:v>19637.57</x:v>
      </x:c>
      <x:c r="L128" s="5" t="n">
        <x:v>22119.31</x:v>
      </x:c>
      <x:c r="M128" s="5" t="n">
        <x:v>22075.81</x:v>
      </x:c>
      <x:c r="N128" s="5">
        <x:f>+SUM(B128:M128)</x:f>
      </x:c>
    </x:row>
    <x:row r="129" spans="1:14">
      <x:c r="A129" s="8" t="s">
        <x:v>141</x:v>
      </x:c>
      <x:c r="B129" s="5" t="n">
        <x:v>175489.23</x:v>
      </x:c>
      <x:c r="C129" s="5" t="n">
        <x:v>147317.29</x:v>
      </x:c>
      <x:c r="D129" s="5" t="n">
        <x:v>178137.58</x:v>
      </x:c>
      <x:c r="E129" s="5" t="n">
        <x:v>177707.32</x:v>
      </x:c>
      <x:c r="F129" s="5" t="n">
        <x:v>134406.31</x:v>
      </x:c>
      <x:c r="G129" s="5" t="n">
        <x:v>148918.52</x:v>
      </x:c>
      <x:c r="H129" s="5" t="n">
        <x:v>122749.44</x:v>
      </x:c>
      <x:c r="I129" s="5" t="n">
        <x:v>125170.94</x:v>
      </x:c>
      <x:c r="J129" s="5" t="n">
        <x:v>135402.67</x:v>
      </x:c>
      <x:c r="K129" s="5" t="n">
        <x:v>158769.87</x:v>
      </x:c>
      <x:c r="L129" s="5" t="n">
        <x:v>166714.46</x:v>
      </x:c>
      <x:c r="M129" s="5" t="n">
        <x:v>153299.13</x:v>
      </x:c>
      <x:c r="N129" s="5">
        <x:f>+SUM(B129:M129)</x:f>
      </x:c>
    </x:row>
    <x:row r="130" spans="1:14">
      <x:c r="A130" s="7" t="s">
        <x:v>142</x:v>
      </x:c>
      <x:c r="B130" s="5" t="n">
        <x:v>98359.44</x:v>
      </x:c>
      <x:c r="C130" s="5" t="n">
        <x:v>166236.53</x:v>
      </x:c>
      <x:c r="D130" s="5" t="n">
        <x:v>109075.42</x:v>
      </x:c>
      <x:c r="E130" s="5" t="n">
        <x:v>132855.92</x:v>
      </x:c>
      <x:c r="F130" s="5" t="n">
        <x:v>169047.79</x:v>
      </x:c>
      <x:c r="G130" s="5" t="n">
        <x:v>160008.39</x:v>
      </x:c>
      <x:c r="H130" s="5" t="n">
        <x:v>193154.67</x:v>
      </x:c>
      <x:c r="I130" s="5" t="n">
        <x:v>181434.43</x:v>
      </x:c>
      <x:c r="J130" s="5" t="n">
        <x:v>159408.44</x:v>
      </x:c>
      <x:c r="K130" s="5" t="n">
        <x:v>144577.07</x:v>
      </x:c>
      <x:c r="L130" s="5" t="n">
        <x:v>150244.08</x:v>
      </x:c>
      <x:c r="M130" s="5" t="n">
        <x:v>170929.21</x:v>
      </x:c>
      <x:c r="N130" s="5">
        <x:f>+SUM(B130:M130)</x:f>
      </x:c>
    </x:row>
    <x:row r="131" spans="1:14">
      <x:c r="A131" s="6" t="s">
        <x:v>143</x:v>
      </x:c>
      <x:c r="B131" s="5" t="s"/>
      <x:c r="C131" s="5" t="s"/>
      <x:c r="D131" s="5" t="s"/>
      <x:c r="E131" s="5" t="s"/>
      <x:c r="F131" s="5" t="s"/>
      <x:c r="G131" s="5" t="s"/>
      <x:c r="H131" s="5" t="s"/>
      <x:c r="I131" s="5" t="s"/>
      <x:c r="J131" s="5" t="s"/>
      <x:c r="K131" s="5" t="s"/>
      <x:c r="L131" s="5" t="s"/>
      <x:c r="M131" s="5" t="s"/>
      <x:c r="N131" s="5" t="s"/>
    </x:row>
    <x:row r="132" spans="1:14">
      <x:c r="A132" s="14" t="s">
        <x:v>144</x:v>
      </x:c>
      <x:c r="B132" s="5" t="n">
        <x:v>-11.95</x:v>
      </x:c>
      <x:c r="C132" s="5" t="n">
        <x:v>-9.8</x:v>
      </x:c>
      <x:c r="D132" s="5" t="n">
        <x:v>-8.08</x:v>
      </x:c>
      <x:c r="E132" s="5" t="n">
        <x:v>-8.31</x:v>
      </x:c>
      <x:c r="F132" s="5" t="n">
        <x:v>-7.58</x:v>
      </x:c>
      <x:c r="G132" s="5" t="n">
        <x:v>-7.65</x:v>
      </x:c>
      <x:c r="H132" s="5" t="n">
        <x:v>-7.59</x:v>
      </x:c>
      <x:c r="I132" s="5" t="n">
        <x:v>-6.64</x:v>
      </x:c>
      <x:c r="J132" s="5" t="n">
        <x:v>-7.18</x:v>
      </x:c>
      <x:c r="K132" s="5" t="n">
        <x:v>-6.72</x:v>
      </x:c>
      <x:c r="L132" s="5" t="n">
        <x:v>-6.76</x:v>
      </x:c>
      <x:c r="M132" s="5" t="n">
        <x:v>-6.44</x:v>
      </x:c>
      <x:c r="N132" s="5">
        <x:f>+SUM(B132:M132)</x:f>
      </x:c>
    </x:row>
    <x:row r="133" spans="1:14">
      <x:c r="A133" s="7" t="s">
        <x:v>145</x:v>
      </x:c>
      <x:c r="B133" s="5" t="n">
        <x:v>-11.95</x:v>
      </x:c>
      <x:c r="C133" s="5" t="n">
        <x:v>-9.8</x:v>
      </x:c>
      <x:c r="D133" s="5" t="n">
        <x:v>-8.08</x:v>
      </x:c>
      <x:c r="E133" s="5" t="n">
        <x:v>-8.31</x:v>
      </x:c>
      <x:c r="F133" s="5" t="n">
        <x:v>-7.58</x:v>
      </x:c>
      <x:c r="G133" s="5" t="n">
        <x:v>-7.65</x:v>
      </x:c>
      <x:c r="H133" s="5" t="n">
        <x:v>-7.59</x:v>
      </x:c>
      <x:c r="I133" s="5" t="n">
        <x:v>-6.64</x:v>
      </x:c>
      <x:c r="J133" s="5" t="n">
        <x:v>-7.18</x:v>
      </x:c>
      <x:c r="K133" s="5" t="n">
        <x:v>-6.72</x:v>
      </x:c>
      <x:c r="L133" s="5" t="n">
        <x:v>-6.76</x:v>
      </x:c>
      <x:c r="M133" s="5" t="n">
        <x:v>-6.44</x:v>
      </x:c>
      <x:c r="N133" s="5">
        <x:f>+SUM(B133:M133)</x:f>
      </x:c>
    </x:row>
    <x:row r="134" spans="1:14">
      <x:c r="A134" s="6" t="s">
        <x:v>146</x:v>
      </x:c>
      <x:c r="B134" s="5" t="s"/>
      <x:c r="C134" s="5" t="s"/>
      <x:c r="D134" s="5" t="s"/>
      <x:c r="E134" s="5" t="s"/>
      <x:c r="F134" s="5" t="s"/>
      <x:c r="G134" s="5" t="s"/>
      <x:c r="H134" s="5" t="s"/>
      <x:c r="I134" s="5" t="s"/>
      <x:c r="J134" s="5" t="s"/>
      <x:c r="K134" s="5" t="s"/>
      <x:c r="L134" s="5" t="s"/>
      <x:c r="M134" s="5" t="s"/>
      <x:c r="N134" s="5" t="s"/>
    </x:row>
    <x:row r="135" spans="1:14">
      <x:c r="A135" s="14" t="s">
        <x:v>147</x:v>
      </x:c>
      <x:c r="B135" s="5" t="n">
        <x:v>108427</x:v>
      </x:c>
      <x:c r="C135" s="5" t="n">
        <x:v>108427</x:v>
      </x:c>
      <x:c r="D135" s="5" t="n">
        <x:v>285026.62</x:v>
      </x:c>
      <x:c r="E135" s="5" t="n">
        <x:v>108427</x:v>
      </x:c>
      <x:c r="F135" s="5" t="n">
        <x:v>108427</x:v>
      </x:c>
      <x:c r="G135" s="5" t="n">
        <x:v>108427</x:v>
      </x:c>
      <x:c r="H135" s="5" t="n">
        <x:v>108427</x:v>
      </x:c>
      <x:c r="I135" s="5" t="n">
        <x:v>108427</x:v>
      </x:c>
      <x:c r="J135" s="5" t="n">
        <x:v>186067.74</x:v>
      </x:c>
      <x:c r="K135" s="5" t="n">
        <x:v>108427</x:v>
      </x:c>
      <x:c r="L135" s="5" t="n">
        <x:v>406977</x:v>
      </x:c>
      <x:c r="M135" s="5" t="n">
        <x:v>0</x:v>
      </x:c>
      <x:c r="N135" s="5">
        <x:f>+SUM(B135:M135)</x:f>
      </x:c>
    </x:row>
    <x:row r="136" spans="1:14">
      <x:c r="A136" s="7" t="s">
        <x:v>148</x:v>
      </x:c>
      <x:c r="B136" s="5" t="n">
        <x:v>108427</x:v>
      </x:c>
      <x:c r="C136" s="5" t="n">
        <x:v>108427</x:v>
      </x:c>
      <x:c r="D136" s="5" t="n">
        <x:v>285026.62</x:v>
      </x:c>
      <x:c r="E136" s="5" t="n">
        <x:v>108427</x:v>
      </x:c>
      <x:c r="F136" s="5" t="n">
        <x:v>108427</x:v>
      </x:c>
      <x:c r="G136" s="5" t="n">
        <x:v>108427</x:v>
      </x:c>
      <x:c r="H136" s="5" t="n">
        <x:v>108427</x:v>
      </x:c>
      <x:c r="I136" s="5" t="n">
        <x:v>108427</x:v>
      </x:c>
      <x:c r="J136" s="5" t="n">
        <x:v>186067.74</x:v>
      </x:c>
      <x:c r="K136" s="5" t="n">
        <x:v>108427</x:v>
      </x:c>
      <x:c r="L136" s="5" t="n">
        <x:v>406977</x:v>
      </x:c>
      <x:c r="M136" s="5" t="n">
        <x:v>0</x:v>
      </x:c>
      <x:c r="N136" s="5">
        <x:f>+SUM(B136:M136)</x:f>
      </x:c>
    </x:row>
    <x:row r="137" spans="1:14">
      <x:c r="A137" s="6" t="s">
        <x:v>149</x:v>
      </x:c>
      <x:c r="B137" s="5" t="s"/>
      <x:c r="C137" s="5" t="s"/>
      <x:c r="D137" s="5" t="s"/>
      <x:c r="E137" s="5" t="s"/>
      <x:c r="F137" s="5" t="s"/>
      <x:c r="G137" s="5" t="s"/>
      <x:c r="H137" s="5" t="s"/>
      <x:c r="I137" s="5" t="s"/>
      <x:c r="J137" s="5" t="s"/>
      <x:c r="K137" s="5" t="s"/>
      <x:c r="L137" s="5" t="s"/>
      <x:c r="M137" s="5" t="s"/>
      <x:c r="N137" s="5" t="s"/>
    </x:row>
    <x:row r="138" spans="1:14">
      <x:c r="A138" s="14" t="s">
        <x:v>150</x:v>
      </x:c>
      <x:c r="B138" s="5" t="n">
        <x:v>93.21</x:v>
      </x:c>
      <x:c r="C138" s="5" t="n">
        <x:v>1000</x:v>
      </x:c>
      <x:c r="D138" s="5" t="n">
        <x:v>0</x:v>
      </x:c>
      <x:c r="E138" s="5" t="n">
        <x:v>0</x:v>
      </x:c>
      <x:c r="F138" s="5" t="n">
        <x:v>0</x:v>
      </x:c>
      <x:c r="G138" s="5" t="n">
        <x:v>11855</x:v>
      </x:c>
      <x:c r="H138" s="5" t="n">
        <x:v>16214.3</x:v>
      </x:c>
      <x:c r="I138" s="5" t="n">
        <x:v>310.58</x:v>
      </x:c>
      <x:c r="J138" s="5" t="n">
        <x:v>-2060</x:v>
      </x:c>
      <x:c r="K138" s="5" t="n">
        <x:v>2450</x:v>
      </x:c>
      <x:c r="L138" s="5" t="n">
        <x:v>676.89</x:v>
      </x:c>
      <x:c r="M138" s="5" t="n">
        <x:v>3214.37</x:v>
      </x:c>
      <x:c r="N138" s="5">
        <x:f>+SUM(B138:M138)</x:f>
      </x:c>
    </x:row>
    <x:row r="139" spans="1:14">
      <x:c r="A139" s="14" t="s">
        <x:v>151</x:v>
      </x:c>
      <x:c r="B139" s="5" t="n">
        <x:v>0</x:v>
      </x:c>
      <x:c r="C139" s="5" t="n">
        <x:v>0</x:v>
      </x:c>
      <x:c r="D139" s="5" t="n">
        <x:v>0</x:v>
      </x:c>
      <x:c r="E139" s="5" t="n">
        <x:v>0</x:v>
      </x:c>
      <x:c r="F139" s="5" t="n">
        <x:v>0</x:v>
      </x:c>
      <x:c r="G139" s="5" t="n">
        <x:v>0</x:v>
      </x:c>
      <x:c r="H139" s="5" t="n">
        <x:v>0</x:v>
      </x:c>
      <x:c r="I139" s="5" t="n">
        <x:v>0</x:v>
      </x:c>
      <x:c r="J139" s="5" t="n">
        <x:v>0</x:v>
      </x:c>
      <x:c r="K139" s="5" t="n">
        <x:v>0</x:v>
      </x:c>
      <x:c r="L139" s="5" t="n">
        <x:v>0</x:v>
      </x:c>
      <x:c r="M139" s="5" t="n">
        <x:v>0</x:v>
      </x:c>
      <x:c r="N139" s="5">
        <x:f>+SUM(B139:M139)</x:f>
      </x:c>
    </x:row>
    <x:row r="140" spans="1:14">
      <x:c r="A140" s="14" t="s">
        <x:v>152</x:v>
      </x:c>
      <x:c r="B140" s="5" t="n">
        <x:v>4500</x:v>
      </x:c>
      <x:c r="C140" s="5" t="n">
        <x:v>0</x:v>
      </x:c>
      <x:c r="D140" s="5" t="n">
        <x:v>0</x:v>
      </x:c>
      <x:c r="E140" s="5" t="n">
        <x:v>0</x:v>
      </x:c>
      <x:c r="F140" s="5" t="n">
        <x:v>0</x:v>
      </x:c>
      <x:c r="G140" s="5" t="n">
        <x:v>0</x:v>
      </x:c>
      <x:c r="H140" s="5" t="n">
        <x:v>787.5</x:v>
      </x:c>
      <x:c r="I140" s="5" t="n">
        <x:v>0</x:v>
      </x:c>
      <x:c r="J140" s="5" t="n">
        <x:v>8525</x:v>
      </x:c>
      <x:c r="K140" s="5" t="n">
        <x:v>787.5</x:v>
      </x:c>
      <x:c r="L140" s="5" t="n">
        <x:v>787.5</x:v>
      </x:c>
      <x:c r="M140" s="5" t="n">
        <x:v>787.5</x:v>
      </x:c>
      <x:c r="N140" s="5">
        <x:f>+SUM(B140:M140)</x:f>
      </x:c>
    </x:row>
    <x:row r="141" spans="1:14">
      <x:c r="A141" s="14" t="s">
        <x:v>153</x:v>
      </x:c>
      <x:c r="B141" s="5" t="n">
        <x:v>1887.5</x:v>
      </x:c>
      <x:c r="C141" s="5" t="n">
        <x:v>2191</x:v>
      </x:c>
      <x:c r="D141" s="5" t="n">
        <x:v>3681.32</x:v>
      </x:c>
      <x:c r="E141" s="5" t="n">
        <x:v>2601.73</x:v>
      </x:c>
      <x:c r="F141" s="5" t="n">
        <x:v>1991</x:v>
      </x:c>
      <x:c r="G141" s="5" t="n">
        <x:v>4333.5</x:v>
      </x:c>
      <x:c r="H141" s="5" t="n">
        <x:v>-838.01</x:v>
      </x:c>
      <x:c r="I141" s="5" t="n">
        <x:v>1720.77</x:v>
      </x:c>
      <x:c r="J141" s="5" t="n">
        <x:v>505.48</x:v>
      </x:c>
      <x:c r="K141" s="5" t="n">
        <x:v>6442.02</x:v>
      </x:c>
      <x:c r="L141" s="5" t="n">
        <x:v>1799.79</x:v>
      </x:c>
      <x:c r="M141" s="5" t="n">
        <x:v>3367.01</x:v>
      </x:c>
      <x:c r="N141" s="5">
        <x:f>+SUM(B141:M141)</x:f>
      </x:c>
    </x:row>
    <x:row r="142" spans="1:14">
      <x:c r="A142" s="14" t="s">
        <x:v>154</x:v>
      </x:c>
      <x:c r="B142" s="5" t="n">
        <x:v>0</x:v>
      </x:c>
      <x:c r="C142" s="5" t="n">
        <x:v>0</x:v>
      </x:c>
      <x:c r="D142" s="5" t="n">
        <x:v>0</x:v>
      </x:c>
      <x:c r="E142" s="5" t="n">
        <x:v>0</x:v>
      </x:c>
      <x:c r="F142" s="5" t="n">
        <x:v>0</x:v>
      </x:c>
      <x:c r="G142" s="5" t="n">
        <x:v>29305.56</x:v>
      </x:c>
      <x:c r="H142" s="5" t="n">
        <x:v>0</x:v>
      </x:c>
      <x:c r="I142" s="5" t="n">
        <x:v>0</x:v>
      </x:c>
      <x:c r="J142" s="5" t="n">
        <x:v>0</x:v>
      </x:c>
      <x:c r="K142" s="5" t="n">
        <x:v>0</x:v>
      </x:c>
      <x:c r="L142" s="5" t="n">
        <x:v>0</x:v>
      </x:c>
      <x:c r="M142" s="5" t="n">
        <x:v>0</x:v>
      </x:c>
      <x:c r="N142" s="5">
        <x:f>+SUM(B142:M142)</x:f>
      </x:c>
    </x:row>
    <x:row r="143" spans="1:14">
      <x:c r="A143" s="14" t="s">
        <x:v>155</x:v>
      </x:c>
      <x:c r="B143" s="5" t="n">
        <x:v>0</x:v>
      </x:c>
      <x:c r="C143" s="5" t="n">
        <x:v>0</x:v>
      </x:c>
      <x:c r="D143" s="5" t="n">
        <x:v>0</x:v>
      </x:c>
      <x:c r="E143" s="5" t="n">
        <x:v>0</x:v>
      </x:c>
      <x:c r="F143" s="5" t="n">
        <x:v>0</x:v>
      </x:c>
      <x:c r="G143" s="5" t="n">
        <x:v>0</x:v>
      </x:c>
      <x:c r="H143" s="5" t="n">
        <x:v>0</x:v>
      </x:c>
      <x:c r="I143" s="5" t="n">
        <x:v>0</x:v>
      </x:c>
      <x:c r="J143" s="5" t="n">
        <x:v>0</x:v>
      </x:c>
      <x:c r="K143" s="5" t="n">
        <x:v>0</x:v>
      </x:c>
      <x:c r="L143" s="5" t="n">
        <x:v>0</x:v>
      </x:c>
      <x:c r="M143" s="5" t="n">
        <x:v>0</x:v>
      </x:c>
      <x:c r="N143" s="5">
        <x:f>+SUM(B143:M143)</x:f>
      </x:c>
    </x:row>
    <x:row r="144" spans="1:14">
      <x:c r="A144" s="7" t="s">
        <x:v>156</x:v>
      </x:c>
      <x:c r="B144" s="5" t="n">
        <x:v>6480.71</x:v>
      </x:c>
      <x:c r="C144" s="5" t="n">
        <x:v>3191</x:v>
      </x:c>
      <x:c r="D144" s="5" t="n">
        <x:v>3681.32</x:v>
      </x:c>
      <x:c r="E144" s="5" t="n">
        <x:v>2601.73</x:v>
      </x:c>
      <x:c r="F144" s="5" t="n">
        <x:v>1991</x:v>
      </x:c>
      <x:c r="G144" s="5" t="n">
        <x:v>45494.06</x:v>
      </x:c>
      <x:c r="H144" s="5" t="n">
        <x:v>16163.79</x:v>
      </x:c>
      <x:c r="I144" s="5" t="n">
        <x:v>2031.35</x:v>
      </x:c>
      <x:c r="J144" s="5" t="n">
        <x:v>6970.48</x:v>
      </x:c>
      <x:c r="K144" s="5" t="n">
        <x:v>9679.52</x:v>
      </x:c>
      <x:c r="L144" s="5" t="n">
        <x:v>3264.18</x:v>
      </x:c>
      <x:c r="M144" s="5" t="n">
        <x:v>7368.88</x:v>
      </x:c>
      <x:c r="N144" s="5">
        <x:f>+SUM(B144:M144)</x:f>
      </x:c>
    </x:row>
    <x:row r="145" spans="1:14">
      <x:c r="A145" s="6" t="s">
        <x:v>157</x:v>
      </x:c>
      <x:c r="B145" s="5" t="s"/>
      <x:c r="C145" s="5" t="s"/>
      <x:c r="D145" s="5" t="s"/>
      <x:c r="E145" s="5" t="s"/>
      <x:c r="F145" s="5" t="s"/>
      <x:c r="G145" s="5" t="s"/>
      <x:c r="H145" s="5" t="s"/>
      <x:c r="I145" s="5" t="s"/>
      <x:c r="J145" s="5" t="s"/>
      <x:c r="K145" s="5" t="s"/>
      <x:c r="L145" s="5" t="s"/>
      <x:c r="M145" s="5" t="s"/>
      <x:c r="N145" s="5" t="s"/>
    </x:row>
    <x:row r="146" spans="1:14">
      <x:c r="A146" s="14" t="s">
        <x:v>158</x:v>
      </x:c>
      <x:c r="B146" s="5" t="n">
        <x:v>0</x:v>
      </x:c>
      <x:c r="C146" s="5" t="n">
        <x:v>0</x:v>
      </x:c>
      <x:c r="D146" s="5" t="n">
        <x:v>0</x:v>
      </x:c>
      <x:c r="E146" s="5" t="n">
        <x:v>0</x:v>
      </x:c>
      <x:c r="F146" s="5" t="n">
        <x:v>0</x:v>
      </x:c>
      <x:c r="G146" s="5" t="n">
        <x:v>0</x:v>
      </x:c>
      <x:c r="H146" s="5" t="n">
        <x:v>0</x:v>
      </x:c>
      <x:c r="I146" s="5" t="n">
        <x:v>0</x:v>
      </x:c>
      <x:c r="J146" s="5" t="n">
        <x:v>0</x:v>
      </x:c>
      <x:c r="K146" s="5" t="n">
        <x:v>0</x:v>
      </x:c>
      <x:c r="L146" s="5" t="n">
        <x:v>0</x:v>
      </x:c>
      <x:c r="M146" s="5" t="n">
        <x:v>0</x:v>
      </x:c>
      <x:c r="N146" s="5">
        <x:f>+SUM(B146:M146)</x:f>
      </x:c>
    </x:row>
    <x:row r="147" spans="1:14">
      <x:c r="A147" s="7" t="s">
        <x:v>159</x:v>
      </x:c>
      <x:c r="B147" s="5" t="n">
        <x:v>0</x:v>
      </x:c>
      <x:c r="C147" s="5" t="n">
        <x:v>0</x:v>
      </x:c>
      <x:c r="D147" s="5" t="n">
        <x:v>0</x:v>
      </x:c>
      <x:c r="E147" s="5" t="n">
        <x:v>0</x:v>
      </x:c>
      <x:c r="F147" s="5" t="n">
        <x:v>0</x:v>
      </x:c>
      <x:c r="G147" s="5" t="n">
        <x:v>0</x:v>
      </x:c>
      <x:c r="H147" s="5" t="n">
        <x:v>0</x:v>
      </x:c>
      <x:c r="I147" s="5" t="n">
        <x:v>0</x:v>
      </x:c>
      <x:c r="J147" s="5" t="n">
        <x:v>0</x:v>
      </x:c>
      <x:c r="K147" s="5" t="n">
        <x:v>0</x:v>
      </x:c>
      <x:c r="L147" s="5" t="n">
        <x:v>0</x:v>
      </x:c>
      <x:c r="M147" s="5" t="n">
        <x:v>0</x:v>
      </x:c>
      <x:c r="N147" s="5">
        <x:f>+SUM(B147:M147)</x:f>
      </x:c>
    </x:row>
    <x:row r="148" spans="1:14">
      <x:c r="A148" s="6" t="s">
        <x:v>160</x:v>
      </x:c>
      <x:c r="B148" s="5" t="s"/>
      <x:c r="C148" s="5" t="s"/>
      <x:c r="D148" s="5" t="s"/>
      <x:c r="E148" s="5" t="s"/>
      <x:c r="F148" s="5" t="s"/>
      <x:c r="G148" s="5" t="s"/>
      <x:c r="H148" s="5" t="s"/>
      <x:c r="I148" s="5" t="s"/>
      <x:c r="J148" s="5" t="s"/>
      <x:c r="K148" s="5" t="s"/>
      <x:c r="L148" s="5" t="s"/>
      <x:c r="M148" s="5" t="s"/>
      <x:c r="N148" s="5" t="s"/>
    </x:row>
    <x:row r="149" spans="1:14">
      <x:c r="A149" s="7" t="s">
        <x:v>161</x:v>
      </x:c>
      <x:c r="B149" s="5" t="s"/>
      <x:c r="C149" s="5" t="s"/>
      <x:c r="D149" s="5" t="s"/>
      <x:c r="E149" s="5" t="s"/>
      <x:c r="F149" s="5" t="s"/>
      <x:c r="G149" s="5" t="s"/>
      <x:c r="H149" s="5" t="s"/>
      <x:c r="I149" s="5" t="s"/>
      <x:c r="J149" s="5" t="s"/>
      <x:c r="K149" s="5" t="s"/>
      <x:c r="L149" s="5" t="s"/>
      <x:c r="M149" s="5" t="s"/>
      <x:c r="N149" s="5" t="s"/>
    </x:row>
    <x:row r="150" spans="1:14">
      <x:c r="A150" s="15" t="s">
        <x:v>162</x:v>
      </x:c>
      <x:c r="B150" s="5" t="n">
        <x:v>9188.01</x:v>
      </x:c>
      <x:c r="C150" s="5" t="n">
        <x:v>8431.64</x:v>
      </x:c>
      <x:c r="D150" s="5" t="n">
        <x:v>7320.07</x:v>
      </x:c>
      <x:c r="E150" s="5" t="n">
        <x:v>3367.9</x:v>
      </x:c>
      <x:c r="F150" s="5" t="n">
        <x:v>35793.15</x:v>
      </x:c>
      <x:c r="G150" s="5" t="n">
        <x:v>2358.46</x:v>
      </x:c>
      <x:c r="H150" s="5" t="n">
        <x:v>0</x:v>
      </x:c>
      <x:c r="I150" s="5" t="n">
        <x:v>6401.72</x:v>
      </x:c>
      <x:c r="J150" s="5" t="n">
        <x:v>9986.67</x:v>
      </x:c>
      <x:c r="K150" s="5" t="n">
        <x:v>2593.32</x:v>
      </x:c>
      <x:c r="L150" s="5" t="n">
        <x:v>21724.67</x:v>
      </x:c>
      <x:c r="M150" s="5" t="n">
        <x:v>17694.57</x:v>
      </x:c>
      <x:c r="N150" s="5">
        <x:f>+SUM(B150:M150)</x:f>
      </x:c>
    </x:row>
    <x:row r="151" spans="1:14">
      <x:c r="A151" s="15" t="s">
        <x:v>163</x:v>
      </x:c>
      <x:c r="B151" s="5" t="n">
        <x:v>7217.47</x:v>
      </x:c>
      <x:c r="C151" s="5" t="n">
        <x:v>8526.39</x:v>
      </x:c>
      <x:c r="D151" s="5" t="n">
        <x:v>4283.18</x:v>
      </x:c>
      <x:c r="E151" s="5" t="n">
        <x:v>12581.52</x:v>
      </x:c>
      <x:c r="F151" s="5" t="n">
        <x:v>11720.48</x:v>
      </x:c>
      <x:c r="G151" s="5" t="n">
        <x:v>15284.46</x:v>
      </x:c>
      <x:c r="H151" s="5" t="n">
        <x:v>0</x:v>
      </x:c>
      <x:c r="I151" s="5" t="n">
        <x:v>4450.9</x:v>
      </x:c>
      <x:c r="J151" s="5" t="n">
        <x:v>8257.15</x:v>
      </x:c>
      <x:c r="K151" s="5" t="n">
        <x:v>5417.51</x:v>
      </x:c>
      <x:c r="L151" s="5" t="n">
        <x:v>18259.09</x:v>
      </x:c>
      <x:c r="M151" s="5" t="n">
        <x:v>6611.44</x:v>
      </x:c>
      <x:c r="N151" s="5">
        <x:f>+SUM(B151:M151)</x:f>
      </x:c>
    </x:row>
    <x:row r="152" spans="1:14">
      <x:c r="A152" s="15" t="s">
        <x:v>164</x:v>
      </x:c>
      <x:c r="B152" s="5" t="n">
        <x:v>0</x:v>
      </x:c>
      <x:c r="C152" s="5" t="n">
        <x:v>0</x:v>
      </x:c>
      <x:c r="D152" s="5" t="n">
        <x:v>0</x:v>
      </x:c>
      <x:c r="E152" s="5" t="n">
        <x:v>0</x:v>
      </x:c>
      <x:c r="F152" s="5" t="n">
        <x:v>0</x:v>
      </x:c>
      <x:c r="G152" s="5" t="n">
        <x:v>0</x:v>
      </x:c>
      <x:c r="H152" s="5" t="n">
        <x:v>4698.61</x:v>
      </x:c>
      <x:c r="I152" s="5" t="n">
        <x:v>12223.02</x:v>
      </x:c>
      <x:c r="J152" s="5" t="n">
        <x:v>0</x:v>
      </x:c>
      <x:c r="K152" s="5" t="n">
        <x:v>0</x:v>
      </x:c>
      <x:c r="L152" s="5" t="n">
        <x:v>0</x:v>
      </x:c>
      <x:c r="M152" s="5" t="n">
        <x:v>0</x:v>
      </x:c>
      <x:c r="N152" s="5">
        <x:f>+SUM(B152:M152)</x:f>
      </x:c>
    </x:row>
    <x:row r="153" spans="1:14">
      <x:c r="A153" s="15" t="s">
        <x:v>165</x:v>
      </x:c>
      <x:c r="B153" s="5" t="n">
        <x:v>0</x:v>
      </x:c>
      <x:c r="C153" s="5" t="n">
        <x:v>0</x:v>
      </x:c>
      <x:c r="D153" s="5" t="n">
        <x:v>0</x:v>
      </x:c>
      <x:c r="E153" s="5" t="n">
        <x:v>0</x:v>
      </x:c>
      <x:c r="F153" s="5" t="n">
        <x:v>0</x:v>
      </x:c>
      <x:c r="G153" s="5" t="n">
        <x:v>0</x:v>
      </x:c>
      <x:c r="H153" s="5" t="n">
        <x:v>0</x:v>
      </x:c>
      <x:c r="I153" s="5" t="n">
        <x:v>0</x:v>
      </x:c>
      <x:c r="J153" s="5" t="n">
        <x:v>0</x:v>
      </x:c>
      <x:c r="K153" s="5" t="n">
        <x:v>0</x:v>
      </x:c>
      <x:c r="L153" s="5" t="n">
        <x:v>665.94</x:v>
      </x:c>
      <x:c r="M153" s="5" t="n">
        <x:v>0</x:v>
      </x:c>
      <x:c r="N153" s="5">
        <x:f>+SUM(B153:M153)</x:f>
      </x:c>
    </x:row>
    <x:row r="154" spans="1:14">
      <x:c r="A154" s="15" t="s">
        <x:v>166</x:v>
      </x:c>
      <x:c r="B154" s="5" t="n">
        <x:v>1708.78</x:v>
      </x:c>
      <x:c r="C154" s="5" t="n">
        <x:v>0</x:v>
      </x:c>
      <x:c r="D154" s="5" t="n">
        <x:v>0</x:v>
      </x:c>
      <x:c r="E154" s="5" t="n">
        <x:v>0</x:v>
      </x:c>
      <x:c r="F154" s="5" t="n">
        <x:v>0</x:v>
      </x:c>
      <x:c r="G154" s="5" t="n">
        <x:v>0</x:v>
      </x:c>
      <x:c r="H154" s="5" t="n">
        <x:v>0</x:v>
      </x:c>
      <x:c r="I154" s="5" t="n">
        <x:v>0</x:v>
      </x:c>
      <x:c r="J154" s="5" t="n">
        <x:v>0</x:v>
      </x:c>
      <x:c r="K154" s="5" t="n">
        <x:v>0</x:v>
      </x:c>
      <x:c r="L154" s="5" t="n">
        <x:v>0</x:v>
      </x:c>
      <x:c r="M154" s="5" t="n">
        <x:v>0</x:v>
      </x:c>
      <x:c r="N154" s="5">
        <x:f>+SUM(B154:M154)</x:f>
      </x:c>
    </x:row>
    <x:row r="155" spans="1:14">
      <x:c r="A155" s="15" t="s">
        <x:v>167</x:v>
      </x:c>
      <x:c r="B155" s="5" t="n">
        <x:v>2830.41</x:v>
      </x:c>
      <x:c r="C155" s="5" t="n">
        <x:v>2161.56</x:v>
      </x:c>
      <x:c r="D155" s="5" t="n">
        <x:v>2356.68</x:v>
      </x:c>
      <x:c r="E155" s="5" t="n">
        <x:v>329.32</x:v>
      </x:c>
      <x:c r="F155" s="5" t="n">
        <x:v>1874.98</x:v>
      </x:c>
      <x:c r="G155" s="5" t="n">
        <x:v>9234.24</x:v>
      </x:c>
      <x:c r="H155" s="5" t="n">
        <x:v>0</x:v>
      </x:c>
      <x:c r="I155" s="5" t="n">
        <x:v>0</x:v>
      </x:c>
      <x:c r="J155" s="5" t="n">
        <x:v>0</x:v>
      </x:c>
      <x:c r="K155" s="5" t="n">
        <x:v>0</x:v>
      </x:c>
      <x:c r="L155" s="5" t="n">
        <x:v>0</x:v>
      </x:c>
      <x:c r="M155" s="5" t="n">
        <x:v>0</x:v>
      </x:c>
      <x:c r="N155" s="5">
        <x:f>+SUM(B155:M155)</x:f>
      </x:c>
    </x:row>
    <x:row r="156" spans="1:14">
      <x:c r="A156" s="15" t="s">
        <x:v>168</x:v>
      </x:c>
      <x:c r="B156" s="5" t="n">
        <x:v>383.56</x:v>
      </x:c>
      <x:c r="C156" s="5" t="n">
        <x:v>2356.22</x:v>
      </x:c>
      <x:c r="D156" s="5" t="n">
        <x:v>24.06</x:v>
      </x:c>
      <x:c r="E156" s="5" t="n">
        <x:v>0</x:v>
      </x:c>
      <x:c r="F156" s="5" t="n">
        <x:v>0</x:v>
      </x:c>
      <x:c r="G156" s="5" t="n">
        <x:v>0</x:v>
      </x:c>
      <x:c r="H156" s="5" t="n">
        <x:v>0</x:v>
      </x:c>
      <x:c r="I156" s="5" t="n">
        <x:v>0</x:v>
      </x:c>
      <x:c r="J156" s="5" t="n">
        <x:v>0</x:v>
      </x:c>
      <x:c r="K156" s="5" t="n">
        <x:v>0</x:v>
      </x:c>
      <x:c r="L156" s="5" t="n">
        <x:v>0</x:v>
      </x:c>
      <x:c r="M156" s="5" t="n">
        <x:v>0</x:v>
      </x:c>
      <x:c r="N156" s="5">
        <x:f>+SUM(B156:M156)</x:f>
      </x:c>
    </x:row>
    <x:row r="157" spans="1:14">
      <x:c r="A157" s="15" t="s">
        <x:v>169</x:v>
      </x:c>
      <x:c r="B157" s="5" t="n">
        <x:v>0</x:v>
      </x:c>
      <x:c r="C157" s="5" t="n">
        <x:v>0</x:v>
      </x:c>
      <x:c r="D157" s="5" t="n">
        <x:v>0</x:v>
      </x:c>
      <x:c r="E157" s="5" t="n">
        <x:v>0</x:v>
      </x:c>
      <x:c r="F157" s="5" t="n">
        <x:v>0</x:v>
      </x:c>
      <x:c r="G157" s="5" t="n">
        <x:v>0</x:v>
      </x:c>
      <x:c r="H157" s="5" t="n">
        <x:v>3978.32</x:v>
      </x:c>
      <x:c r="I157" s="5" t="n">
        <x:v>8533.19</x:v>
      </x:c>
      <x:c r="J157" s="5" t="n">
        <x:v>6098.69</x:v>
      </x:c>
      <x:c r="K157" s="5" t="n">
        <x:v>9204.26</x:v>
      </x:c>
      <x:c r="L157" s="5" t="n">
        <x:v>3028</x:v>
      </x:c>
      <x:c r="M157" s="5" t="n">
        <x:v>1712.78</x:v>
      </x:c>
      <x:c r="N157" s="5">
        <x:f>+SUM(B157:M157)</x:f>
      </x:c>
    </x:row>
    <x:row r="158" spans="1:14">
      <x:c r="A158" s="15" t="s">
        <x:v>170</x:v>
      </x:c>
      <x:c r="B158" s="5" t="n">
        <x:v>88.89</x:v>
      </x:c>
      <x:c r="C158" s="5" t="n">
        <x:v>0</x:v>
      </x:c>
      <x:c r="D158" s="5" t="n">
        <x:v>4523.57</x:v>
      </x:c>
      <x:c r="E158" s="5" t="n">
        <x:v>829.11</x:v>
      </x:c>
      <x:c r="F158" s="5" t="n">
        <x:v>0</x:v>
      </x:c>
      <x:c r="G158" s="5" t="n">
        <x:v>468.16</x:v>
      </x:c>
      <x:c r="H158" s="5" t="n">
        <x:v>0</x:v>
      </x:c>
      <x:c r="I158" s="5" t="n">
        <x:v>0</x:v>
      </x:c>
      <x:c r="J158" s="5" t="n">
        <x:v>0</x:v>
      </x:c>
      <x:c r="K158" s="5" t="n">
        <x:v>0</x:v>
      </x:c>
      <x:c r="L158" s="5" t="n">
        <x:v>0</x:v>
      </x:c>
      <x:c r="M158" s="5" t="n">
        <x:v>0</x:v>
      </x:c>
      <x:c r="N158" s="5">
        <x:f>+SUM(B158:M158)</x:f>
      </x:c>
    </x:row>
    <x:row r="159" spans="1:14">
      <x:c r="A159" s="15" t="s">
        <x:v>171</x:v>
      </x:c>
      <x:c r="B159" s="5" t="n">
        <x:v>7280</x:v>
      </x:c>
      <x:c r="C159" s="5" t="n">
        <x:v>5092.02</x:v>
      </x:c>
      <x:c r="D159" s="5" t="n">
        <x:v>-3368.44</x:v>
      </x:c>
      <x:c r="E159" s="5" t="n">
        <x:v>2410.77</x:v>
      </x:c>
      <x:c r="F159" s="5" t="n">
        <x:v>1131.98</x:v>
      </x:c>
      <x:c r="G159" s="5" t="n">
        <x:v>-3419.59</x:v>
      </x:c>
      <x:c r="H159" s="5" t="n">
        <x:v>-5840.43</x:v>
      </x:c>
      <x:c r="I159" s="5" t="n">
        <x:v>1841.92</x:v>
      </x:c>
      <x:c r="J159" s="5" t="n">
        <x:v>0</x:v>
      </x:c>
      <x:c r="K159" s="5" t="n">
        <x:v>0</x:v>
      </x:c>
      <x:c r="L159" s="5" t="n">
        <x:v>0</x:v>
      </x:c>
      <x:c r="M159" s="5" t="n">
        <x:v>1608.94</x:v>
      </x:c>
      <x:c r="N159" s="5">
        <x:f>+SUM(B159:M159)</x:f>
      </x:c>
    </x:row>
    <x:row r="160" spans="1:14">
      <x:c r="A160" s="15" t="s">
        <x:v>172</x:v>
      </x:c>
      <x:c r="B160" s="5" t="n">
        <x:v>1651.68</x:v>
      </x:c>
      <x:c r="C160" s="5" t="n">
        <x:v>3173.93</x:v>
      </x:c>
      <x:c r="D160" s="5" t="n">
        <x:v>1.68</x:v>
      </x:c>
      <x:c r="E160" s="5" t="n">
        <x:v>8722.79</x:v>
      </x:c>
      <x:c r="F160" s="5" t="n">
        <x:v>20970.67</x:v>
      </x:c>
      <x:c r="G160" s="5" t="n">
        <x:v>49082.97</x:v>
      </x:c>
      <x:c r="H160" s="5" t="n">
        <x:v>7526.52</x:v>
      </x:c>
      <x:c r="I160" s="5" t="n">
        <x:v>19156.62</x:v>
      </x:c>
      <x:c r="J160" s="5" t="n">
        <x:v>18639.55</x:v>
      </x:c>
      <x:c r="K160" s="5" t="n">
        <x:v>12993.6</x:v>
      </x:c>
      <x:c r="L160" s="5" t="n">
        <x:v>6284.92</x:v>
      </x:c>
      <x:c r="M160" s="5" t="n">
        <x:v>8326.56</x:v>
      </x:c>
      <x:c r="N160" s="5">
        <x:f>+SUM(B160:M160)</x:f>
      </x:c>
    </x:row>
    <x:row r="161" spans="1:14">
      <x:c r="A161" s="8" t="s">
        <x:v>173</x:v>
      </x:c>
      <x:c r="B161" s="5" t="n">
        <x:v>30348.8</x:v>
      </x:c>
      <x:c r="C161" s="5" t="n">
        <x:v>29741.76</x:v>
      </x:c>
      <x:c r="D161" s="5" t="n">
        <x:v>15140.8</x:v>
      </x:c>
      <x:c r="E161" s="5" t="n">
        <x:v>28241.41</x:v>
      </x:c>
      <x:c r="F161" s="5" t="n">
        <x:v>71491.26</x:v>
      </x:c>
      <x:c r="G161" s="5" t="n">
        <x:v>73008.7</x:v>
      </x:c>
      <x:c r="H161" s="5" t="n">
        <x:v>10363.02</x:v>
      </x:c>
      <x:c r="I161" s="5" t="n">
        <x:v>52607.37</x:v>
      </x:c>
      <x:c r="J161" s="5" t="n">
        <x:v>42982.06</x:v>
      </x:c>
      <x:c r="K161" s="5" t="n">
        <x:v>30208.69</x:v>
      </x:c>
      <x:c r="L161" s="5" t="n">
        <x:v>49962.62</x:v>
      </x:c>
      <x:c r="M161" s="5" t="n">
        <x:v>35954.29</x:v>
      </x:c>
      <x:c r="N161" s="5">
        <x:f>+SUM(B161:M161)</x:f>
      </x:c>
    </x:row>
    <x:row r="162" spans="1:14">
      <x:c r="A162" s="7" t="s">
        <x:v>174</x:v>
      </x:c>
      <x:c r="B162" s="5" t="s"/>
      <x:c r="C162" s="5" t="s"/>
      <x:c r="D162" s="5" t="s"/>
      <x:c r="E162" s="5" t="s"/>
      <x:c r="F162" s="5" t="s"/>
      <x:c r="G162" s="5" t="s"/>
      <x:c r="H162" s="5" t="s"/>
      <x:c r="I162" s="5" t="s"/>
      <x:c r="J162" s="5" t="s"/>
      <x:c r="K162" s="5" t="s"/>
      <x:c r="L162" s="5" t="s"/>
      <x:c r="M162" s="5" t="s"/>
      <x:c r="N162" s="5" t="s"/>
    </x:row>
    <x:row r="163" spans="1:14">
      <x:c r="A163" s="15" t="s">
        <x:v>175</x:v>
      </x:c>
      <x:c r="B163" s="5" t="n">
        <x:v>4312</x:v>
      </x:c>
      <x:c r="C163" s="5" t="n">
        <x:v>467.62</x:v>
      </x:c>
      <x:c r="D163" s="5" t="n">
        <x:v>0</x:v>
      </x:c>
      <x:c r="E163" s="5" t="n">
        <x:v>1375.42</x:v>
      </x:c>
      <x:c r="F163" s="5" t="n">
        <x:v>0</x:v>
      </x:c>
      <x:c r="G163" s="5" t="n">
        <x:v>0</x:v>
      </x:c>
      <x:c r="H163" s="5" t="n">
        <x:v>0</x:v>
      </x:c>
      <x:c r="I163" s="5" t="n">
        <x:v>0</x:v>
      </x:c>
      <x:c r="J163" s="5" t="n">
        <x:v>0</x:v>
      </x:c>
      <x:c r="K163" s="5" t="n">
        <x:v>0</x:v>
      </x:c>
      <x:c r="L163" s="5" t="n">
        <x:v>0</x:v>
      </x:c>
      <x:c r="M163" s="5" t="n">
        <x:v>244.61</x:v>
      </x:c>
      <x:c r="N163" s="5">
        <x:f>+SUM(B163:M163)</x:f>
      </x:c>
    </x:row>
    <x:row r="164" spans="1:14">
      <x:c r="A164" s="15" t="s">
        <x:v>176</x:v>
      </x:c>
      <x:c r="B164" s="5" t="n">
        <x:v>0</x:v>
      </x:c>
      <x:c r="C164" s="5" t="n">
        <x:v>0</x:v>
      </x:c>
      <x:c r="D164" s="5" t="n">
        <x:v>284.53</x:v>
      </x:c>
      <x:c r="E164" s="5" t="n">
        <x:v>0</x:v>
      </x:c>
      <x:c r="F164" s="5" t="n">
        <x:v>0</x:v>
      </x:c>
      <x:c r="G164" s="5" t="n">
        <x:v>0</x:v>
      </x:c>
      <x:c r="H164" s="5" t="n">
        <x:v>0</x:v>
      </x:c>
      <x:c r="I164" s="5" t="n">
        <x:v>0</x:v>
      </x:c>
      <x:c r="J164" s="5" t="n">
        <x:v>0</x:v>
      </x:c>
      <x:c r="K164" s="5" t="n">
        <x:v>0</x:v>
      </x:c>
      <x:c r="L164" s="5" t="n">
        <x:v>0</x:v>
      </x:c>
      <x:c r="M164" s="5" t="n">
        <x:v>0</x:v>
      </x:c>
      <x:c r="N164" s="5">
        <x:f>+SUM(B164:M164)</x:f>
      </x:c>
    </x:row>
    <x:row r="165" spans="1:14">
      <x:c r="A165" s="15" t="s">
        <x:v>177</x:v>
      </x:c>
      <x:c r="B165" s="5" t="n">
        <x:v>0</x:v>
      </x:c>
      <x:c r="C165" s="5" t="n">
        <x:v>0</x:v>
      </x:c>
      <x:c r="D165" s="5" t="n">
        <x:v>0</x:v>
      </x:c>
      <x:c r="E165" s="5" t="n">
        <x:v>0</x:v>
      </x:c>
      <x:c r="F165" s="5" t="n">
        <x:v>0</x:v>
      </x:c>
      <x:c r="G165" s="5" t="n">
        <x:v>0</x:v>
      </x:c>
      <x:c r="H165" s="5" t="n">
        <x:v>0</x:v>
      </x:c>
      <x:c r="I165" s="5" t="n">
        <x:v>0</x:v>
      </x:c>
      <x:c r="J165" s="5" t="n">
        <x:v>0</x:v>
      </x:c>
      <x:c r="K165" s="5" t="n">
        <x:v>0</x:v>
      </x:c>
      <x:c r="L165" s="5" t="n">
        <x:v>395.64</x:v>
      </x:c>
      <x:c r="M165" s="5" t="n">
        <x:v>0</x:v>
      </x:c>
      <x:c r="N165" s="5">
        <x:f>+SUM(B165:M165)</x:f>
      </x:c>
    </x:row>
    <x:row r="166" spans="1:14">
      <x:c r="A166" s="15" t="s">
        <x:v>178</x:v>
      </x:c>
      <x:c r="B166" s="5" t="n">
        <x:v>0</x:v>
      </x:c>
      <x:c r="C166" s="5" t="n">
        <x:v>0</x:v>
      </x:c>
      <x:c r="D166" s="5" t="n">
        <x:v>1869.8</x:v>
      </x:c>
      <x:c r="E166" s="5" t="n">
        <x:v>7488.54</x:v>
      </x:c>
      <x:c r="F166" s="5" t="n">
        <x:v>3769.57</x:v>
      </x:c>
      <x:c r="G166" s="5" t="n">
        <x:v>12836.41</x:v>
      </x:c>
      <x:c r="H166" s="5" t="n">
        <x:v>0</x:v>
      </x:c>
      <x:c r="I166" s="5" t="n">
        <x:v>0</x:v>
      </x:c>
      <x:c r="J166" s="5" t="n">
        <x:v>0</x:v>
      </x:c>
      <x:c r="K166" s="5" t="n">
        <x:v>0</x:v>
      </x:c>
      <x:c r="L166" s="5" t="n">
        <x:v>0</x:v>
      </x:c>
      <x:c r="M166" s="5" t="n">
        <x:v>0</x:v>
      </x:c>
      <x:c r="N166" s="5">
        <x:f>+SUM(B166:M166)</x:f>
      </x:c>
    </x:row>
    <x:row r="167" spans="1:14">
      <x:c r="A167" s="15" t="s">
        <x:v>179</x:v>
      </x:c>
      <x:c r="B167" s="5" t="n">
        <x:v>0</x:v>
      </x:c>
      <x:c r="C167" s="5" t="n">
        <x:v>0</x:v>
      </x:c>
      <x:c r="D167" s="5" t="n">
        <x:v>0</x:v>
      </x:c>
      <x:c r="E167" s="5" t="n">
        <x:v>0</x:v>
      </x:c>
      <x:c r="F167" s="5" t="n">
        <x:v>0</x:v>
      </x:c>
      <x:c r="G167" s="5" t="n">
        <x:v>0</x:v>
      </x:c>
      <x:c r="H167" s="5" t="n">
        <x:v>0</x:v>
      </x:c>
      <x:c r="I167" s="5" t="n">
        <x:v>3002.4</x:v>
      </x:c>
      <x:c r="J167" s="5" t="n">
        <x:v>0</x:v>
      </x:c>
      <x:c r="K167" s="5" t="n">
        <x:v>0</x:v>
      </x:c>
      <x:c r="L167" s="5" t="n">
        <x:v>0</x:v>
      </x:c>
      <x:c r="M167" s="5" t="n">
        <x:v>5655.85</x:v>
      </x:c>
      <x:c r="N167" s="5">
        <x:f>+SUM(B167:M167)</x:f>
      </x:c>
    </x:row>
    <x:row r="168" spans="1:14">
      <x:c r="A168" s="15" t="s">
        <x:v>180</x:v>
      </x:c>
      <x:c r="B168" s="5" t="n">
        <x:v>0</x:v>
      </x:c>
      <x:c r="C168" s="5" t="n">
        <x:v>0</x:v>
      </x:c>
      <x:c r="D168" s="5" t="n">
        <x:v>0</x:v>
      </x:c>
      <x:c r="E168" s="5" t="n">
        <x:v>0</x:v>
      </x:c>
      <x:c r="F168" s="5" t="n">
        <x:v>0</x:v>
      </x:c>
      <x:c r="G168" s="5" t="n">
        <x:v>0</x:v>
      </x:c>
      <x:c r="H168" s="5" t="n">
        <x:v>0</x:v>
      </x:c>
      <x:c r="I168" s="5" t="n">
        <x:v>0</x:v>
      </x:c>
      <x:c r="J168" s="5" t="n">
        <x:v>0</x:v>
      </x:c>
      <x:c r="K168" s="5" t="n">
        <x:v>0</x:v>
      </x:c>
      <x:c r="L168" s="5" t="n">
        <x:v>679.75</x:v>
      </x:c>
      <x:c r="M168" s="5" t="n">
        <x:v>0</x:v>
      </x:c>
      <x:c r="N168" s="5">
        <x:f>+SUM(B168:M168)</x:f>
      </x:c>
    </x:row>
    <x:row r="169" spans="1:14">
      <x:c r="A169" s="15" t="s">
        <x:v>181</x:v>
      </x:c>
      <x:c r="B169" s="5" t="n">
        <x:v>8062.87</x:v>
      </x:c>
      <x:c r="C169" s="5" t="n">
        <x:v>0</x:v>
      </x:c>
      <x:c r="D169" s="5" t="n">
        <x:v>0</x:v>
      </x:c>
      <x:c r="E169" s="5" t="n">
        <x:v>0</x:v>
      </x:c>
      <x:c r="F169" s="5" t="n">
        <x:v>3002.64</x:v>
      </x:c>
      <x:c r="G169" s="5" t="n">
        <x:v>22559.79</x:v>
      </x:c>
      <x:c r="H169" s="5" t="n">
        <x:v>0</x:v>
      </x:c>
      <x:c r="I169" s="5" t="n">
        <x:v>0</x:v>
      </x:c>
      <x:c r="J169" s="5" t="n">
        <x:v>0</x:v>
      </x:c>
      <x:c r="K169" s="5" t="n">
        <x:v>0</x:v>
      </x:c>
      <x:c r="L169" s="5" t="n">
        <x:v>0</x:v>
      </x:c>
      <x:c r="M169" s="5" t="n">
        <x:v>0</x:v>
      </x:c>
      <x:c r="N169" s="5">
        <x:f>+SUM(B169:M169)</x:f>
      </x:c>
    </x:row>
    <x:row r="170" spans="1:14">
      <x:c r="A170" s="15" t="s">
        <x:v>182</x:v>
      </x:c>
      <x:c r="B170" s="5" t="n">
        <x:v>0</x:v>
      </x:c>
      <x:c r="C170" s="5" t="n">
        <x:v>0</x:v>
      </x:c>
      <x:c r="D170" s="5" t="n">
        <x:v>0</x:v>
      </x:c>
      <x:c r="E170" s="5" t="n">
        <x:v>0</x:v>
      </x:c>
      <x:c r="F170" s="5" t="n">
        <x:v>0</x:v>
      </x:c>
      <x:c r="G170" s="5" t="n">
        <x:v>0</x:v>
      </x:c>
      <x:c r="H170" s="5" t="n">
        <x:v>0</x:v>
      </x:c>
      <x:c r="I170" s="5" t="n">
        <x:v>0</x:v>
      </x:c>
      <x:c r="J170" s="5" t="n">
        <x:v>0</x:v>
      </x:c>
      <x:c r="K170" s="5" t="n">
        <x:v>0</x:v>
      </x:c>
      <x:c r="L170" s="5" t="n">
        <x:v>417.65</x:v>
      </x:c>
      <x:c r="M170" s="5" t="n">
        <x:v>0</x:v>
      </x:c>
      <x:c r="N170" s="5">
        <x:f>+SUM(B170:M170)</x:f>
      </x:c>
    </x:row>
    <x:row r="171" spans="1:14">
      <x:c r="A171" s="15" t="s">
        <x:v>183</x:v>
      </x:c>
      <x:c r="B171" s="5" t="n">
        <x:v>2432.09</x:v>
      </x:c>
      <x:c r="C171" s="5" t="n">
        <x:v>1482.47</x:v>
      </x:c>
      <x:c r="D171" s="5" t="n">
        <x:v>687.86</x:v>
      </x:c>
      <x:c r="E171" s="5" t="n">
        <x:v>513.87</x:v>
      </x:c>
      <x:c r="F171" s="5" t="n">
        <x:v>0</x:v>
      </x:c>
      <x:c r="G171" s="5" t="n">
        <x:v>0</x:v>
      </x:c>
      <x:c r="H171" s="5" t="n">
        <x:v>0</x:v>
      </x:c>
      <x:c r="I171" s="5" t="n">
        <x:v>1914.55</x:v>
      </x:c>
      <x:c r="J171" s="5" t="n">
        <x:v>5483.65</x:v>
      </x:c>
      <x:c r="K171" s="5" t="n">
        <x:v>7145.57</x:v>
      </x:c>
      <x:c r="L171" s="5" t="n">
        <x:v>0</x:v>
      </x:c>
      <x:c r="M171" s="5" t="n">
        <x:v>0</x:v>
      </x:c>
      <x:c r="N171" s="5">
        <x:f>+SUM(B171:M171)</x:f>
      </x:c>
    </x:row>
    <x:row r="172" spans="1:14">
      <x:c r="A172" s="15" t="s">
        <x:v>184</x:v>
      </x:c>
      <x:c r="B172" s="5" t="n">
        <x:v>0</x:v>
      </x:c>
      <x:c r="C172" s="5" t="n">
        <x:v>0</x:v>
      </x:c>
      <x:c r="D172" s="5" t="n">
        <x:v>150.87</x:v>
      </x:c>
      <x:c r="E172" s="5" t="n">
        <x:v>590.33</x:v>
      </x:c>
      <x:c r="F172" s="5" t="n">
        <x:v>0</x:v>
      </x:c>
      <x:c r="G172" s="5" t="n">
        <x:v>0</x:v>
      </x:c>
      <x:c r="H172" s="5" t="n">
        <x:v>0</x:v>
      </x:c>
      <x:c r="I172" s="5" t="n">
        <x:v>0</x:v>
      </x:c>
      <x:c r="J172" s="5" t="n">
        <x:v>0</x:v>
      </x:c>
      <x:c r="K172" s="5" t="n">
        <x:v>0</x:v>
      </x:c>
      <x:c r="L172" s="5" t="n">
        <x:v>0</x:v>
      </x:c>
      <x:c r="M172" s="5" t="n">
        <x:v>0</x:v>
      </x:c>
      <x:c r="N172" s="5">
        <x:f>+SUM(B172:M172)</x:f>
      </x:c>
    </x:row>
    <x:row r="173" spans="1:14">
      <x:c r="A173" s="15" t="s">
        <x:v>185</x:v>
      </x:c>
      <x:c r="B173" s="5" t="n">
        <x:v>0</x:v>
      </x:c>
      <x:c r="C173" s="5" t="n">
        <x:v>650.22</x:v>
      </x:c>
      <x:c r="D173" s="5" t="n">
        <x:v>-650.22</x:v>
      </x:c>
      <x:c r="E173" s="5" t="n">
        <x:v>0</x:v>
      </x:c>
      <x:c r="F173" s="5" t="n">
        <x:v>0</x:v>
      </x:c>
      <x:c r="G173" s="5" t="n">
        <x:v>0</x:v>
      </x:c>
      <x:c r="H173" s="5" t="n">
        <x:v>0</x:v>
      </x:c>
      <x:c r="I173" s="5" t="n">
        <x:v>0</x:v>
      </x:c>
      <x:c r="J173" s="5" t="n">
        <x:v>0</x:v>
      </x:c>
      <x:c r="K173" s="5" t="n">
        <x:v>0</x:v>
      </x:c>
      <x:c r="L173" s="5" t="n">
        <x:v>0</x:v>
      </x:c>
      <x:c r="M173" s="5" t="n">
        <x:v>0</x:v>
      </x:c>
      <x:c r="N173" s="5">
        <x:f>+SUM(B173:M173)</x:f>
      </x:c>
    </x:row>
    <x:row r="174" spans="1:14">
      <x:c r="A174" s="15" t="s">
        <x:v>186</x:v>
      </x:c>
      <x:c r="B174" s="5" t="n">
        <x:v>1682.25</x:v>
      </x:c>
      <x:c r="C174" s="5" t="n">
        <x:v>0</x:v>
      </x:c>
      <x:c r="D174" s="5" t="n">
        <x:v>0</x:v>
      </x:c>
      <x:c r="E174" s="5" t="n">
        <x:v>0</x:v>
      </x:c>
      <x:c r="F174" s="5" t="n">
        <x:v>0</x:v>
      </x:c>
      <x:c r="G174" s="5" t="n">
        <x:v>0</x:v>
      </x:c>
      <x:c r="H174" s="5" t="n">
        <x:v>0</x:v>
      </x:c>
      <x:c r="I174" s="5" t="n">
        <x:v>0</x:v>
      </x:c>
      <x:c r="J174" s="5" t="n">
        <x:v>0</x:v>
      </x:c>
      <x:c r="K174" s="5" t="n">
        <x:v>0</x:v>
      </x:c>
      <x:c r="L174" s="5" t="n">
        <x:v>0</x:v>
      </x:c>
      <x:c r="M174" s="5" t="n">
        <x:v>0</x:v>
      </x:c>
      <x:c r="N174" s="5">
        <x:f>+SUM(B174:M174)</x:f>
      </x:c>
    </x:row>
    <x:row r="175" spans="1:14">
      <x:c r="A175" s="15" t="s">
        <x:v>187</x:v>
      </x:c>
      <x:c r="B175" s="5" t="n">
        <x:v>22129.91</x:v>
      </x:c>
      <x:c r="C175" s="5" t="n">
        <x:v>6182.7</x:v>
      </x:c>
      <x:c r="D175" s="5" t="n">
        <x:v>15066.05</x:v>
      </x:c>
      <x:c r="E175" s="5" t="n">
        <x:v>4625.07</x:v>
      </x:c>
      <x:c r="F175" s="5" t="n">
        <x:v>0</x:v>
      </x:c>
      <x:c r="G175" s="5" t="n">
        <x:v>1698.18</x:v>
      </x:c>
      <x:c r="H175" s="5" t="n">
        <x:v>63074.3</x:v>
      </x:c>
      <x:c r="I175" s="5" t="n">
        <x:v>50086.24</x:v>
      </x:c>
      <x:c r="J175" s="5" t="n">
        <x:v>15477.76</x:v>
      </x:c>
      <x:c r="K175" s="5" t="n">
        <x:v>10454.4</x:v>
      </x:c>
      <x:c r="L175" s="5" t="n">
        <x:v>29968.31</x:v>
      </x:c>
      <x:c r="M175" s="5" t="n">
        <x:v>6806.31</x:v>
      </x:c>
      <x:c r="N175" s="5">
        <x:f>+SUM(B175:M175)</x:f>
      </x:c>
    </x:row>
    <x:row r="176" spans="1:14">
      <x:c r="A176" s="8" t="s">
        <x:v>188</x:v>
      </x:c>
      <x:c r="B176" s="5" t="n">
        <x:v>38619.12</x:v>
      </x:c>
      <x:c r="C176" s="5" t="n">
        <x:v>8783.01</x:v>
      </x:c>
      <x:c r="D176" s="5" t="n">
        <x:v>17408.89</x:v>
      </x:c>
      <x:c r="E176" s="5" t="n">
        <x:v>14593.23</x:v>
      </x:c>
      <x:c r="F176" s="5" t="n">
        <x:v>6772.21</x:v>
      </x:c>
      <x:c r="G176" s="5" t="n">
        <x:v>37094.38</x:v>
      </x:c>
      <x:c r="H176" s="5" t="n">
        <x:v>63074.3</x:v>
      </x:c>
      <x:c r="I176" s="5" t="n">
        <x:v>55003.19</x:v>
      </x:c>
      <x:c r="J176" s="5" t="n">
        <x:v>20961.41</x:v>
      </x:c>
      <x:c r="K176" s="5" t="n">
        <x:v>17599.97</x:v>
      </x:c>
      <x:c r="L176" s="5" t="n">
        <x:v>31461.35</x:v>
      </x:c>
      <x:c r="M176" s="5" t="n">
        <x:v>12706.77</x:v>
      </x:c>
      <x:c r="N176" s="5">
        <x:f>+SUM(B176:M176)</x:f>
      </x:c>
    </x:row>
    <x:row r="177" spans="1:14">
      <x:c r="A177" s="7" t="s">
        <x:v>189</x:v>
      </x:c>
      <x:c r="B177" s="5" t="n">
        <x:v>68967.92</x:v>
      </x:c>
      <x:c r="C177" s="5" t="n">
        <x:v>38524.77</x:v>
      </x:c>
      <x:c r="D177" s="5" t="n">
        <x:v>32549.69</x:v>
      </x:c>
      <x:c r="E177" s="5" t="n">
        <x:v>42834.64</x:v>
      </x:c>
      <x:c r="F177" s="5" t="n">
        <x:v>78263.47</x:v>
      </x:c>
      <x:c r="G177" s="5" t="n">
        <x:v>110103.08</x:v>
      </x:c>
      <x:c r="H177" s="5" t="n">
        <x:v>73437.32</x:v>
      </x:c>
      <x:c r="I177" s="5" t="n">
        <x:v>107610.56</x:v>
      </x:c>
      <x:c r="J177" s="5" t="n">
        <x:v>63943.47</x:v>
      </x:c>
      <x:c r="K177" s="5" t="n">
        <x:v>47808.66</x:v>
      </x:c>
      <x:c r="L177" s="5" t="n">
        <x:v>81423.97</x:v>
      </x:c>
      <x:c r="M177" s="5" t="n">
        <x:v>48661.06</x:v>
      </x:c>
      <x:c r="N177" s="5">
        <x:f>+SUM(B177:M177)</x:f>
      </x:c>
    </x:row>
    <x:row r="178" spans="1:14">
      <x:c r="A178" s="6" t="s">
        <x:v>190</x:v>
      </x:c>
      <x:c r="B178" s="5" t="n">
        <x:v>-85504.24</x:v>
      </x:c>
      <x:c r="C178" s="5" t="n">
        <x:v>16103.56</x:v>
      </x:c>
      <x:c r="D178" s="5" t="n">
        <x:v>-212174.13</x:v>
      </x:c>
      <x:c r="E178" s="5" t="n">
        <x:v>-20999.14</x:v>
      </x:c>
      <x:c r="F178" s="5" t="n">
        <x:v>-19626.1</x:v>
      </x:c>
      <x:c r="G178" s="5" t="n">
        <x:v>-104008.1</x:v>
      </x:c>
      <x:c r="H178" s="5" t="n">
        <x:v>-4865.85</x:v>
      </x:c>
      <x:c r="I178" s="5" t="n">
        <x:v>-36627.84</x:v>
      </x:c>
      <x:c r="J178" s="5" t="n">
        <x:v>-97566.07</x:v>
      </x:c>
      <x:c r="K178" s="5" t="n">
        <x:v>-21331.39</x:v>
      </x:c>
      <x:c r="L178" s="5" t="n">
        <x:v>-341414.31</x:v>
      </x:c>
      <x:c r="M178" s="5" t="n">
        <x:v>114905.71</x:v>
      </x:c>
      <x:c r="N178" s="5">
        <x:f>+SUM(B178:M178)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ap:HeadingPairs>
  <ap:TitlesOfParts>
    <vt:vector baseType="lpstr" size="15">
      <vt:lpstr>Ae.Export</vt:lpstr>
      <vt:lpstr>Ae.Export!COL_2025MTH07_ACT</vt:lpstr>
      <vt:lpstr>Ae.Export!COL_2025MTH08_ACT</vt:lpstr>
      <vt:lpstr>Ae.Export!COL_2025MTH09_ACT</vt:lpstr>
      <vt:lpstr>Ae.Export!COL_2025MTH10_ACT</vt:lpstr>
      <vt:lpstr>Ae.Export!COL_2025MTH11_ACT</vt:lpstr>
      <vt:lpstr>Ae.Export!COL_2025MTH12_ACT</vt:lpstr>
      <vt:lpstr>Ae.Export!COL_2026MTH01_ACT</vt:lpstr>
      <vt:lpstr>Ae.Export!COL_2026MTH02_ACT</vt:lpstr>
      <vt:lpstr>Ae.Export!COL_2026MTH03_ACT</vt:lpstr>
      <vt:lpstr>Ae.Export!COL_2026MTH04_ACT</vt:lpstr>
      <vt:lpstr>Ae.Export!COL_2026MTH05_ACT</vt:lpstr>
      <vt:lpstr>Ae.Export!COL_2026MTH06_ACT</vt:lpstr>
      <vt:lpstr>Ae.Export!Print_Area</vt:lpstr>
      <vt:lpstr>Ae.Export!Print_Titles</vt:lpstr>
    </vt:vector>
  </ap:TitlesOfParts>
</ap:Properties>
</file>